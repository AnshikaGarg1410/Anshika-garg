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4c1c9bb98f5cea3/Documents/Desktop/anshika/"/>
    </mc:Choice>
  </mc:AlternateContent>
  <xr:revisionPtr revIDLastSave="1" documentId="8_{4DDB73E0-50E3-4CCD-AE8D-1A27CEFE7E56}" xr6:coauthVersionLast="47" xr6:coauthVersionMax="47" xr10:uidLastSave="{D76AAB1E-E088-41B5-A806-FE64A858A93F}"/>
  <bookViews>
    <workbookView xWindow="-120" yWindow="-120" windowWidth="20730" windowHeight="11040" xr2:uid="{00000000-000D-0000-FFFF-FFFF00000000}"/>
  </bookViews>
  <sheets>
    <sheet name="Sheet2" sheetId="5" r:id="rId1"/>
    <sheet name="Sheet1" sheetId="4" r:id="rId2"/>
    <sheet name="Orders" sheetId="1" r:id="rId3"/>
    <sheet name="Customers" sheetId="2" r:id="rId4"/>
    <sheet name="Products" sheetId="3" r:id="rId5"/>
  </sheets>
  <definedNames>
    <definedName name="_xlcn.WorksheetConnection_OrdersA1J1511" hidden="1">Orders!$A$1:$J$151</definedName>
  </definedNames>
  <calcPr calcId="191029"/>
  <pivotCaches>
    <pivotCache cacheId="3" r:id="rId6"/>
    <pivotCache cacheId="35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ders!$A$1:$J$151"/>
        </x15:modelTables>
      </x15:dataModel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8B936-49B7-4F40-8178-70878888B8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20EB6F-1932-4792-ACF7-146ED8FBE6B7}" name="WorksheetConnection_Orders!$A$1:$J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A1J1511"/>
        </x15:connection>
      </ext>
    </extLst>
  </connection>
</connections>
</file>

<file path=xl/sharedStrings.xml><?xml version="1.0" encoding="utf-8"?>
<sst xmlns="http://schemas.openxmlformats.org/spreadsheetml/2006/main" count="266" uniqueCount="170">
  <si>
    <t>order_id</t>
  </si>
  <si>
    <t>customer_id</t>
  </si>
  <si>
    <t>product_id</t>
  </si>
  <si>
    <t>order_date</t>
  </si>
  <si>
    <t>sales</t>
  </si>
  <si>
    <t>quantity</t>
  </si>
  <si>
    <t>profit</t>
  </si>
  <si>
    <t>2025-06-22</t>
  </si>
  <si>
    <t>2025-05-02</t>
  </si>
  <si>
    <t>2025-03-15</t>
  </si>
  <si>
    <t>2025-01-22</t>
  </si>
  <si>
    <t>2025-06-09</t>
  </si>
  <si>
    <t>2025-01-21</t>
  </si>
  <si>
    <t>2025-05-06</t>
  </si>
  <si>
    <t>2025-05-10</t>
  </si>
  <si>
    <t>2025-04-02</t>
  </si>
  <si>
    <t>2025-04-28</t>
  </si>
  <si>
    <t>2025-03-17</t>
  </si>
  <si>
    <t>2025-06-24</t>
  </si>
  <si>
    <t>2025-03-02</t>
  </si>
  <si>
    <t>2025-06-23</t>
  </si>
  <si>
    <t>2025-02-04</t>
  </si>
  <si>
    <t>2025-02-24</t>
  </si>
  <si>
    <t>2025-06-11</t>
  </si>
  <si>
    <t>2025-04-14</t>
  </si>
  <si>
    <t>2025-06-19</t>
  </si>
  <si>
    <t>2025-03-21</t>
  </si>
  <si>
    <t>2025-05-08</t>
  </si>
  <si>
    <t>2025-04-08</t>
  </si>
  <si>
    <t>2025-06-03</t>
  </si>
  <si>
    <t>2025-01-29</t>
  </si>
  <si>
    <t>2025-03-04</t>
  </si>
  <si>
    <t>2025-05-05</t>
  </si>
  <si>
    <t>2025-06-10</t>
  </si>
  <si>
    <t>2025-03-11</t>
  </si>
  <si>
    <t>2025-02-23</t>
  </si>
  <si>
    <t>2025-04-05</t>
  </si>
  <si>
    <t>2025-05-31</t>
  </si>
  <si>
    <t>2025-04-12</t>
  </si>
  <si>
    <t>2025-02-05</t>
  </si>
  <si>
    <t>2025-03-10</t>
  </si>
  <si>
    <t>2025-05-23</t>
  </si>
  <si>
    <t>2025-06-16</t>
  </si>
  <si>
    <t>2025-04-15</t>
  </si>
  <si>
    <t>2025-01-18</t>
  </si>
  <si>
    <t>2025-01-04</t>
  </si>
  <si>
    <t>2025-03-18</t>
  </si>
  <si>
    <t>2025-02-18</t>
  </si>
  <si>
    <t>2025-06-05</t>
  </si>
  <si>
    <t>2025-02-06</t>
  </si>
  <si>
    <t>2025-06-17</t>
  </si>
  <si>
    <t>2025-06-07</t>
  </si>
  <si>
    <t>2025-03-05</t>
  </si>
  <si>
    <t>2025-05-24</t>
  </si>
  <si>
    <t>2025-02-22</t>
  </si>
  <si>
    <t>2025-01-15</t>
  </si>
  <si>
    <t>2025-03-01</t>
  </si>
  <si>
    <t>2025-01-25</t>
  </si>
  <si>
    <t>2025-04-10</t>
  </si>
  <si>
    <t>2025-01-13</t>
  </si>
  <si>
    <t>2025-02-09</t>
  </si>
  <si>
    <t>2025-03-07</t>
  </si>
  <si>
    <t>2025-03-16</t>
  </si>
  <si>
    <t>2025-03-12</t>
  </si>
  <si>
    <t>2025-04-07</t>
  </si>
  <si>
    <t>2025-05-12</t>
  </si>
  <si>
    <t>2025-01-14</t>
  </si>
  <si>
    <t>2025-05-26</t>
  </si>
  <si>
    <t>2025-01-26</t>
  </si>
  <si>
    <t>2025-06-26</t>
  </si>
  <si>
    <t>2025-01-09</t>
  </si>
  <si>
    <t>2025-02-13</t>
  </si>
  <si>
    <t>2025-06-04</t>
  </si>
  <si>
    <t>2025-03-25</t>
  </si>
  <si>
    <t>2025-01-02</t>
  </si>
  <si>
    <t>2025-01-17</t>
  </si>
  <si>
    <t>2025-01-05</t>
  </si>
  <si>
    <t>2025-02-25</t>
  </si>
  <si>
    <t>2025-04-01</t>
  </si>
  <si>
    <t>2025-04-23</t>
  </si>
  <si>
    <t>2025-06-12</t>
  </si>
  <si>
    <t>2025-01-11</t>
  </si>
  <si>
    <t>2025-01-27</t>
  </si>
  <si>
    <t>2025-03-27</t>
  </si>
  <si>
    <t>2025-05-22</t>
  </si>
  <si>
    <t>2025-05-04</t>
  </si>
  <si>
    <t>2025-01-23</t>
  </si>
  <si>
    <t>2025-05-18</t>
  </si>
  <si>
    <t>2025-06-02</t>
  </si>
  <si>
    <t>2025-06-25</t>
  </si>
  <si>
    <t>2025-01-06</t>
  </si>
  <si>
    <t>2025-05-20</t>
  </si>
  <si>
    <t>2025-02-02</t>
  </si>
  <si>
    <t>2025-02-27</t>
  </si>
  <si>
    <t>2025-02-26</t>
  </si>
  <si>
    <t>2025-02-08</t>
  </si>
  <si>
    <t>2025-03-30</t>
  </si>
  <si>
    <t>2025-05-27</t>
  </si>
  <si>
    <t>2025-01-30</t>
  </si>
  <si>
    <t>2025-04-04</t>
  </si>
  <si>
    <t>2025-02-14</t>
  </si>
  <si>
    <t>2025-03-31</t>
  </si>
  <si>
    <t>2025-02-01</t>
  </si>
  <si>
    <t>2025-06-06</t>
  </si>
  <si>
    <t>2025-04-20</t>
  </si>
  <si>
    <t>2025-01-31</t>
  </si>
  <si>
    <t>2025-06-27</t>
  </si>
  <si>
    <t>2025-05-09</t>
  </si>
  <si>
    <t>customer_name</t>
  </si>
  <si>
    <t>city</t>
  </si>
  <si>
    <t>segment</t>
  </si>
  <si>
    <t>Customer_1</t>
  </si>
  <si>
    <t>Hyderabad</t>
  </si>
  <si>
    <t>Home Office</t>
  </si>
  <si>
    <t>Customer_2</t>
  </si>
  <si>
    <t>Pune</t>
  </si>
  <si>
    <t>Corporate</t>
  </si>
  <si>
    <t>Customer_3</t>
  </si>
  <si>
    <t>Mumbai</t>
  </si>
  <si>
    <t>Customer_4</t>
  </si>
  <si>
    <t>Bangalore</t>
  </si>
  <si>
    <t>Consumer</t>
  </si>
  <si>
    <t>Customer_5</t>
  </si>
  <si>
    <t>Customer_6</t>
  </si>
  <si>
    <t>Delhi</t>
  </si>
  <si>
    <t>Customer_7</t>
  </si>
  <si>
    <t>Chennai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</si>
  <si>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</si>
  <si>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</si>
  <si>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</si>
  <si>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</si>
  <si>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</si>
  <si>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</si>
  <si>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</si>
  <si>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</si>
  <si>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</si>
  <si>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</si>
  <si>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</si>
  <si>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</si>
  <si>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Kolkata</t>
  </si>
  <si>
    <t>Customer_20</t>
  </si>
  <si>
    <t>product_name</t>
  </si>
  <si>
    <t>category</t>
  </si>
  <si>
    <t>Product_101</t>
  </si>
  <si>
    <t>Furniture</t>
  </si>
  <si>
    <t>Product_102</t>
  </si>
  <si>
    <t>Office Supplies</t>
  </si>
  <si>
    <t>Product_103</t>
  </si>
  <si>
    <t>Product_104</t>
  </si>
  <si>
    <t>Product_105</t>
  </si>
  <si>
    <t>Technology</t>
  </si>
  <si>
    <t>Product_106</t>
  </si>
  <si>
    <t>Product_107</t>
  </si>
  <si>
    <t>Product_108</t>
  </si>
  <si>
    <t>Product_109</t>
  </si>
  <si>
    <t>Product_110</t>
  </si>
  <si>
    <t>YEAR</t>
  </si>
  <si>
    <t>MONTH</t>
  </si>
  <si>
    <t>PROFIT MARGIN</t>
  </si>
  <si>
    <t>Row Labels</t>
  </si>
  <si>
    <t>January</t>
  </si>
  <si>
    <t>February</t>
  </si>
  <si>
    <t>March</t>
  </si>
  <si>
    <t>April</t>
  </si>
  <si>
    <t>May</t>
  </si>
  <si>
    <t>June</t>
  </si>
  <si>
    <t>Grand Total</t>
  </si>
  <si>
    <t>Sum of sales</t>
  </si>
  <si>
    <t>Sum of product_id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</si>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</sst>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001,1]d\ mmm\ yyyy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VISUALISATION.xlsx]Sheet2!PivotTable2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April</c:v>
                </c:pt>
                <c:pt idx="1">
                  <c:v>February</c:v>
                </c:pt>
                <c:pt idx="2">
                  <c:v>January</c:v>
                </c:pt>
                <c:pt idx="3">
                  <c:v>June</c:v>
                </c:pt>
                <c:pt idx="4">
                  <c:v>March</c:v>
                </c:pt>
                <c:pt idx="5">
                  <c:v>May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65317</c:v>
                </c:pt>
                <c:pt idx="1">
                  <c:v>47049</c:v>
                </c:pt>
                <c:pt idx="2">
                  <c:v>105546</c:v>
                </c:pt>
                <c:pt idx="3">
                  <c:v>119768</c:v>
                </c:pt>
                <c:pt idx="4">
                  <c:v>60559</c:v>
                </c:pt>
                <c:pt idx="5">
                  <c:v>79811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2-4D8C-B615-57F5E64CD1C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product_id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April</c:v>
                </c:pt>
                <c:pt idx="1">
                  <c:v>February</c:v>
                </c:pt>
                <c:pt idx="2">
                  <c:v>January</c:v>
                </c:pt>
                <c:pt idx="3">
                  <c:v>June</c:v>
                </c:pt>
                <c:pt idx="4">
                  <c:v>March</c:v>
                </c:pt>
                <c:pt idx="5">
                  <c:v>May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2417</c:v>
                </c:pt>
                <c:pt idx="1">
                  <c:v>1986</c:v>
                </c:pt>
                <c:pt idx="2">
                  <c:v>3066</c:v>
                </c:pt>
                <c:pt idx="3">
                  <c:v>3075</c:v>
                </c:pt>
                <c:pt idx="4">
                  <c:v>2620</c:v>
                </c:pt>
                <c:pt idx="5">
                  <c:v>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2-4D8C-B615-57F5E64CD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588344"/>
        <c:axId val="550584744"/>
      </c:barChart>
      <c:catAx>
        <c:axId val="55058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84744"/>
        <c:crosses val="autoZero"/>
        <c:auto val="1"/>
        <c:lblAlgn val="ctr"/>
        <c:lblOffset val="100"/>
        <c:noMultiLvlLbl val="0"/>
      </c:catAx>
      <c:valAx>
        <c:axId val="55058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8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VISUALISATION.xlsx]Sheet1!PivotTable1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788835</c:v>
                </c:pt>
                <c:pt idx="1">
                  <c:v>368053</c:v>
                </c:pt>
                <c:pt idx="2">
                  <c:v>574835</c:v>
                </c:pt>
                <c:pt idx="3">
                  <c:v>607388</c:v>
                </c:pt>
                <c:pt idx="4">
                  <c:v>654620</c:v>
                </c:pt>
                <c:pt idx="5">
                  <c:v>866325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2-422E-B115-04DE651D7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46036472"/>
        <c:axId val="546037192"/>
      </c:barChart>
      <c:catAx>
        <c:axId val="54603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37192"/>
        <c:crosses val="autoZero"/>
        <c:auto val="1"/>
        <c:lblAlgn val="ctr"/>
        <c:lblOffset val="100"/>
        <c:noMultiLvlLbl val="0"/>
      </c:catAx>
      <c:valAx>
        <c:axId val="54603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3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4</xdr:row>
      <xdr:rowOff>109537</xdr:rowOff>
    </xdr:from>
    <xdr:to>
      <xdr:col>12</xdr:col>
      <xdr:colOff>104775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A837E-E263-D9F4-7F56-DB95D0DE0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185737</xdr:rowOff>
    </xdr:from>
    <xdr:to>
      <xdr:col>14</xdr:col>
      <xdr:colOff>28575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3228F-B64A-4FAB-02BE-BFE2A90E6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4.758279166665" createdVersion="8" refreshedVersion="8" minRefreshableVersion="3" recordCount="150" xr:uid="{7FAF2165-9B5E-4DF0-BCD7-CEF439395D44}">
  <cacheSource type="worksheet">
    <worksheetSource ref="A1:J151" sheet="Orders"/>
  </cacheSource>
  <cacheFields count="10">
    <cacheField name="order_id" numFmtId="0">
      <sharedItems containsSemiMixedTypes="0" containsString="0" containsNumber="1" containsInteger="1" minValue="1001" maxValue="1150"/>
    </cacheField>
    <cacheField name="customer_id" numFmtId="0">
      <sharedItems containsSemiMixedTypes="0" containsString="0" containsNumber="1" containsInteger="1" minValue="1" maxValue="20"/>
    </cacheField>
    <cacheField name="product_id" numFmtId="0">
      <sharedItems containsSemiMixedTypes="0" containsString="0" containsNumber="1" containsInteger="1" minValue="101" maxValue="110"/>
    </cacheField>
    <cacheField name="order_date" numFmtId="164">
      <sharedItems/>
    </cacheField>
    <cacheField name="sales" numFmtId="0">
      <sharedItems containsSemiMixedTypes="0" containsString="0" containsNumber="1" containsInteger="1" minValue="695" maxValue="49820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containsInteger="1" minValue="48" maxValue="9632"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unt="6">
        <s v="June"/>
        <s v="May"/>
        <s v="March"/>
        <s v="January"/>
        <s v="April"/>
        <s v="February"/>
      </sharedItems>
    </cacheField>
    <cacheField name="PROFIT MARGIN" numFmtId="0">
      <sharedItems containsSemiMixedTypes="0" containsString="0" containsNumber="1" minValue="5.0819338126146057E-2" maxValue="0.19907100199071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4.76216539352" backgroundQuery="1" createdVersion="8" refreshedVersion="8" minRefreshableVersion="3" recordCount="0" supportSubquery="1" supportAdvancedDrill="1" xr:uid="{35136FA5-B36D-432E-A640-1DED4A682676}">
  <cacheSource type="external" connectionId="1"/>
  <cacheFields count="3">
    <cacheField name="[Measures].[Sum of product_id]" caption="Sum of product_id" numFmtId="0" hierarchy="13" level="32767"/>
    <cacheField name="[Measures].[Sum of profit]" caption="Sum of profit" numFmtId="0" hierarchy="14" level="32767"/>
    <cacheField name="[Range].[MONTH].[MONTH]" caption="MONTH" numFmtId="0" hierarchy="8" level="1">
      <sharedItems count="6">
        <s v="April"/>
        <s v="February"/>
        <s v="January"/>
        <s v="June"/>
        <s v="March"/>
        <s v="May"/>
      </sharedItems>
    </cacheField>
  </cacheFields>
  <cacheHierarchies count="15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FIT MARGIN]" caption="PROFIT MARGIN" attribute="1" defaultMemberUniqueName="[Range].[PROFIT MARGIN].[All]" allUniqueName="[Range].[PROFIT MARGI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duct_id]" caption="Sum of product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1"/>
    <n v="13"/>
    <n v="108"/>
    <s v="2025-06-22"/>
    <n v="2711"/>
    <n v="6"/>
    <n v="422"/>
    <n v="2025"/>
    <x v="0"/>
    <n v="0.15566211729988935"/>
  </r>
  <r>
    <n v="1002"/>
    <n v="15"/>
    <n v="107"/>
    <s v="2025-05-02"/>
    <n v="24040"/>
    <n v="1"/>
    <n v="2763"/>
    <n v="2025"/>
    <x v="1"/>
    <n v="0.11493344425956739"/>
  </r>
  <r>
    <n v="1003"/>
    <n v="12"/>
    <n v="101"/>
    <s v="2025-03-15"/>
    <n v="10069"/>
    <n v="3"/>
    <n v="925"/>
    <n v="2025"/>
    <x v="2"/>
    <n v="9.1866123746151551E-2"/>
  </r>
  <r>
    <n v="1004"/>
    <n v="9"/>
    <n v="110"/>
    <s v="2025-01-22"/>
    <n v="35402"/>
    <n v="6"/>
    <n v="5873"/>
    <n v="2025"/>
    <x v="3"/>
    <n v="0.16589458222699283"/>
  </r>
  <r>
    <n v="1005"/>
    <n v="8"/>
    <n v="110"/>
    <s v="2025-06-09"/>
    <n v="42938"/>
    <n v="2"/>
    <n v="3728"/>
    <n v="2025"/>
    <x v="0"/>
    <n v="8.682286086916019E-2"/>
  </r>
  <r>
    <n v="1006"/>
    <n v="1"/>
    <n v="105"/>
    <s v="2025-01-21"/>
    <n v="35059"/>
    <n v="1"/>
    <n v="6474"/>
    <n v="2025"/>
    <x v="3"/>
    <n v="0.18466014432813257"/>
  </r>
  <r>
    <n v="1007"/>
    <n v="17"/>
    <n v="103"/>
    <s v="2025-05-06"/>
    <n v="9437"/>
    <n v="5"/>
    <n v="892"/>
    <n v="2025"/>
    <x v="1"/>
    <n v="9.4521564056373852E-2"/>
  </r>
  <r>
    <n v="1008"/>
    <n v="6"/>
    <n v="101"/>
    <s v="2025-05-10"/>
    <n v="34978"/>
    <n v="6"/>
    <n v="4161"/>
    <n v="2025"/>
    <x v="1"/>
    <n v="0.11896048945051176"/>
  </r>
  <r>
    <n v="1009"/>
    <n v="13"/>
    <n v="104"/>
    <s v="2025-04-02"/>
    <n v="15143"/>
    <n v="3"/>
    <n v="2317"/>
    <n v="2025"/>
    <x v="4"/>
    <n v="0.15300799049065575"/>
  </r>
  <r>
    <n v="1010"/>
    <n v="20"/>
    <n v="110"/>
    <s v="2025-04-28"/>
    <n v="6910"/>
    <n v="2"/>
    <n v="910"/>
    <n v="2025"/>
    <x v="4"/>
    <n v="0.13169319826338641"/>
  </r>
  <r>
    <n v="1011"/>
    <n v="14"/>
    <n v="101"/>
    <s v="2025-03-17"/>
    <n v="10604"/>
    <n v="9"/>
    <n v="1235"/>
    <n v="2025"/>
    <x v="2"/>
    <n v="0.11646548472274613"/>
  </r>
  <r>
    <n v="1012"/>
    <n v="7"/>
    <n v="104"/>
    <s v="2025-06-24"/>
    <n v="3816"/>
    <n v="4"/>
    <n v="436"/>
    <n v="2025"/>
    <x v="0"/>
    <n v="0.11425576519916142"/>
  </r>
  <r>
    <n v="1013"/>
    <n v="5"/>
    <n v="104"/>
    <s v="2025-03-02"/>
    <n v="3295"/>
    <n v="4"/>
    <n v="615"/>
    <n v="2025"/>
    <x v="2"/>
    <n v="0.18664643399089528"/>
  </r>
  <r>
    <n v="1014"/>
    <n v="8"/>
    <n v="102"/>
    <s v="2025-06-23"/>
    <n v="39439"/>
    <n v="6"/>
    <n v="3253"/>
    <n v="2025"/>
    <x v="0"/>
    <n v="8.2481807348056491E-2"/>
  </r>
  <r>
    <n v="1015"/>
    <n v="8"/>
    <n v="104"/>
    <s v="2025-02-04"/>
    <n v="14485"/>
    <n v="6"/>
    <n v="2126"/>
    <n v="2025"/>
    <x v="5"/>
    <n v="0.14677252329996548"/>
  </r>
  <r>
    <n v="1016"/>
    <n v="12"/>
    <n v="102"/>
    <s v="2025-02-24"/>
    <n v="46381"/>
    <n v="9"/>
    <n v="5779"/>
    <n v="2025"/>
    <x v="5"/>
    <n v="0.12459843470386581"/>
  </r>
  <r>
    <n v="1017"/>
    <n v="17"/>
    <n v="109"/>
    <s v="2025-06-11"/>
    <n v="39111"/>
    <n v="6"/>
    <n v="7372"/>
    <n v="2025"/>
    <x v="0"/>
    <n v="0.18848917184423819"/>
  </r>
  <r>
    <n v="1018"/>
    <n v="16"/>
    <n v="105"/>
    <s v="2025-04-14"/>
    <n v="40568"/>
    <n v="4"/>
    <n v="4197"/>
    <n v="2025"/>
    <x v="4"/>
    <n v="0.10345592585288897"/>
  </r>
  <r>
    <n v="1019"/>
    <n v="8"/>
    <n v="108"/>
    <s v="2025-06-19"/>
    <n v="34341"/>
    <n v="5"/>
    <n v="4349"/>
    <n v="2025"/>
    <x v="0"/>
    <n v="0.12664162371509274"/>
  </r>
  <r>
    <n v="1020"/>
    <n v="4"/>
    <n v="102"/>
    <s v="2025-03-21"/>
    <n v="49820"/>
    <n v="1"/>
    <n v="5801"/>
    <n v="2025"/>
    <x v="2"/>
    <n v="0.11643918105178643"/>
  </r>
  <r>
    <n v="1021"/>
    <n v="1"/>
    <n v="102"/>
    <s v="2025-05-08"/>
    <n v="3988"/>
    <n v="10"/>
    <n v="596"/>
    <n v="2025"/>
    <x v="1"/>
    <n v="0.14944834503510532"/>
  </r>
  <r>
    <n v="1022"/>
    <n v="15"/>
    <n v="110"/>
    <s v="2025-04-08"/>
    <n v="45477"/>
    <n v="5"/>
    <n v="4131"/>
    <n v="2025"/>
    <x v="4"/>
    <n v="9.0837126459528988E-2"/>
  </r>
  <r>
    <n v="1023"/>
    <n v="14"/>
    <n v="107"/>
    <s v="2025-06-03"/>
    <n v="41571"/>
    <n v="1"/>
    <n v="3138"/>
    <n v="2025"/>
    <x v="0"/>
    <n v="7.5485314281590526E-2"/>
  </r>
  <r>
    <n v="1024"/>
    <n v="15"/>
    <n v="107"/>
    <s v="2025-01-29"/>
    <n v="49158"/>
    <n v="3"/>
    <n v="8104"/>
    <n v="2025"/>
    <x v="3"/>
    <n v="0.16485617803816266"/>
  </r>
  <r>
    <n v="1025"/>
    <n v="5"/>
    <n v="108"/>
    <s v="2025-03-04"/>
    <n v="43204"/>
    <n v="2"/>
    <n v="3099"/>
    <n v="2025"/>
    <x v="2"/>
    <n v="7.1729469493565415E-2"/>
  </r>
  <r>
    <n v="1026"/>
    <n v="9"/>
    <n v="110"/>
    <s v="2025-05-05"/>
    <n v="21073"/>
    <n v="7"/>
    <n v="1132"/>
    <n v="2025"/>
    <x v="1"/>
    <n v="5.3718027808095668E-2"/>
  </r>
  <r>
    <n v="1027"/>
    <n v="6"/>
    <n v="110"/>
    <s v="2025-06-10"/>
    <n v="22256"/>
    <n v="2"/>
    <n v="2280"/>
    <n v="2025"/>
    <x v="0"/>
    <n v="0.10244428468727534"/>
  </r>
  <r>
    <n v="1028"/>
    <n v="15"/>
    <n v="102"/>
    <s v="2025-03-11"/>
    <n v="32779"/>
    <n v="3"/>
    <n v="3321"/>
    <n v="2025"/>
    <x v="2"/>
    <n v="0.10131486622532719"/>
  </r>
  <r>
    <n v="1029"/>
    <n v="17"/>
    <n v="101"/>
    <s v="2025-02-23"/>
    <n v="9330"/>
    <n v="8"/>
    <n v="1211"/>
    <n v="2025"/>
    <x v="5"/>
    <n v="0.12979635584137192"/>
  </r>
  <r>
    <n v="1030"/>
    <n v="16"/>
    <n v="105"/>
    <s v="2025-04-05"/>
    <n v="27026"/>
    <n v="10"/>
    <n v="4100"/>
    <n v="2025"/>
    <x v="4"/>
    <n v="0.15170576481906312"/>
  </r>
  <r>
    <n v="1031"/>
    <n v="11"/>
    <n v="109"/>
    <s v="2025-05-31"/>
    <n v="30298"/>
    <n v="7"/>
    <n v="3340"/>
    <n v="2025"/>
    <x v="1"/>
    <n v="0.11023829955772659"/>
  </r>
  <r>
    <n v="1032"/>
    <n v="1"/>
    <n v="110"/>
    <s v="2025-04-12"/>
    <n v="36234"/>
    <n v="1"/>
    <n v="4333"/>
    <n v="2025"/>
    <x v="4"/>
    <n v="0.11958381630512778"/>
  </r>
  <r>
    <n v="1033"/>
    <n v="16"/>
    <n v="109"/>
    <s v="2025-02-05"/>
    <n v="2729"/>
    <n v="2"/>
    <n v="315"/>
    <n v="2025"/>
    <x v="5"/>
    <n v="0.11542689629901062"/>
  </r>
  <r>
    <n v="1034"/>
    <n v="2"/>
    <n v="107"/>
    <s v="2025-03-10"/>
    <n v="19731"/>
    <n v="2"/>
    <n v="3521"/>
    <n v="2025"/>
    <x v="2"/>
    <n v="0.17845015457908875"/>
  </r>
  <r>
    <n v="1035"/>
    <n v="20"/>
    <n v="102"/>
    <s v="2025-04-14"/>
    <n v="23104"/>
    <n v="6"/>
    <n v="4470"/>
    <n v="2025"/>
    <x v="4"/>
    <n v="0.19347299168975068"/>
  </r>
  <r>
    <n v="1036"/>
    <n v="6"/>
    <n v="104"/>
    <s v="2025-05-23"/>
    <n v="28928"/>
    <n v="4"/>
    <n v="5612"/>
    <n v="2025"/>
    <x v="1"/>
    <n v="0.19399889380530974"/>
  </r>
  <r>
    <n v="1037"/>
    <n v="1"/>
    <n v="103"/>
    <s v="2025-06-16"/>
    <n v="39273"/>
    <n v="5"/>
    <n v="5587"/>
    <n v="2025"/>
    <x v="0"/>
    <n v="0.14226058615333689"/>
  </r>
  <r>
    <n v="1038"/>
    <n v="13"/>
    <n v="107"/>
    <s v="2025-04-15"/>
    <n v="21044"/>
    <n v="5"/>
    <n v="2712"/>
    <n v="2025"/>
    <x v="4"/>
    <n v="0.12887283786352405"/>
  </r>
  <r>
    <n v="1039"/>
    <n v="6"/>
    <n v="103"/>
    <s v="2025-05-08"/>
    <n v="48589"/>
    <n v="3"/>
    <n v="5967"/>
    <n v="2025"/>
    <x v="1"/>
    <n v="0.12280557327790241"/>
  </r>
  <r>
    <n v="1040"/>
    <n v="14"/>
    <n v="103"/>
    <s v="2025-01-18"/>
    <n v="32063"/>
    <n v="5"/>
    <n v="5334"/>
    <n v="2025"/>
    <x v="3"/>
    <n v="0.16635997879175374"/>
  </r>
  <r>
    <n v="1041"/>
    <n v="8"/>
    <n v="106"/>
    <s v="2025-01-04"/>
    <n v="44675"/>
    <n v="1"/>
    <n v="3364"/>
    <n v="2025"/>
    <x v="3"/>
    <n v="7.529938444320089E-2"/>
  </r>
  <r>
    <n v="1042"/>
    <n v="7"/>
    <n v="106"/>
    <s v="2025-03-18"/>
    <n v="23019"/>
    <n v="1"/>
    <n v="2882"/>
    <n v="2025"/>
    <x v="2"/>
    <n v="0.12520092097832225"/>
  </r>
  <r>
    <n v="1043"/>
    <n v="20"/>
    <n v="110"/>
    <s v="2025-02-18"/>
    <n v="10835"/>
    <n v="6"/>
    <n v="1289"/>
    <n v="2025"/>
    <x v="5"/>
    <n v="0.11896631287494232"/>
  </r>
  <r>
    <n v="1044"/>
    <n v="17"/>
    <n v="107"/>
    <s v="2025-06-05"/>
    <n v="4380"/>
    <n v="7"/>
    <n v="280"/>
    <n v="2025"/>
    <x v="0"/>
    <n v="6.3926940639269403E-2"/>
  </r>
  <r>
    <n v="1045"/>
    <n v="2"/>
    <n v="101"/>
    <s v="2025-04-02"/>
    <n v="47212"/>
    <n v="8"/>
    <n v="4416"/>
    <n v="2025"/>
    <x v="4"/>
    <n v="9.3535541811403874E-2"/>
  </r>
  <r>
    <n v="1046"/>
    <n v="19"/>
    <n v="103"/>
    <s v="2025-02-06"/>
    <n v="30660"/>
    <n v="10"/>
    <n v="2508"/>
    <n v="2025"/>
    <x v="5"/>
    <n v="8.1800391389432486E-2"/>
  </r>
  <r>
    <n v="1047"/>
    <n v="13"/>
    <n v="105"/>
    <s v="2025-06-17"/>
    <n v="46162"/>
    <n v="2"/>
    <n v="8639"/>
    <n v="2025"/>
    <x v="0"/>
    <n v="0.18714527100212297"/>
  </r>
  <r>
    <n v="1048"/>
    <n v="20"/>
    <n v="107"/>
    <s v="2025-01-04"/>
    <n v="29692"/>
    <n v="6"/>
    <n v="2654"/>
    <n v="2025"/>
    <x v="3"/>
    <n v="8.9384345951771527E-2"/>
  </r>
  <r>
    <n v="1049"/>
    <n v="10"/>
    <n v="104"/>
    <s v="2025-06-07"/>
    <n v="12108"/>
    <n v="4"/>
    <n v="1080"/>
    <n v="2025"/>
    <x v="0"/>
    <n v="8.9197224975222991E-2"/>
  </r>
  <r>
    <n v="1050"/>
    <n v="9"/>
    <n v="109"/>
    <s v="2025-03-05"/>
    <n v="1733"/>
    <n v="2"/>
    <n v="153"/>
    <n v="2025"/>
    <x v="2"/>
    <n v="8.8286208886324297E-2"/>
  </r>
  <r>
    <n v="1051"/>
    <n v="14"/>
    <n v="101"/>
    <s v="2025-05-24"/>
    <n v="22586"/>
    <n v="9"/>
    <n v="1603"/>
    <n v="2025"/>
    <x v="1"/>
    <n v="7.0973169219870721E-2"/>
  </r>
  <r>
    <n v="1052"/>
    <n v="10"/>
    <n v="108"/>
    <s v="2025-06-17"/>
    <n v="34357"/>
    <n v="1"/>
    <n v="1746"/>
    <n v="2025"/>
    <x v="0"/>
    <n v="5.0819338126146057E-2"/>
  </r>
  <r>
    <n v="1053"/>
    <n v="9"/>
    <n v="105"/>
    <s v="2025-05-08"/>
    <n v="44837"/>
    <n v="2"/>
    <n v="3356"/>
    <n v="2025"/>
    <x v="1"/>
    <n v="7.4848897116220975E-2"/>
  </r>
  <r>
    <n v="1054"/>
    <n v="13"/>
    <n v="101"/>
    <s v="2025-02-22"/>
    <n v="40337"/>
    <n v="4"/>
    <n v="5704"/>
    <n v="2025"/>
    <x v="5"/>
    <n v="0.14140863227309913"/>
  </r>
  <r>
    <n v="1055"/>
    <n v="15"/>
    <n v="109"/>
    <s v="2025-01-15"/>
    <n v="44108"/>
    <n v="9"/>
    <n v="8074"/>
    <n v="2025"/>
    <x v="3"/>
    <n v="0.18305069375170038"/>
  </r>
  <r>
    <n v="1056"/>
    <n v="12"/>
    <n v="107"/>
    <s v="2025-04-05"/>
    <n v="20817"/>
    <n v="8"/>
    <n v="3069"/>
    <n v="2025"/>
    <x v="4"/>
    <n v="0.1474275832252486"/>
  </r>
  <r>
    <n v="1057"/>
    <n v="5"/>
    <n v="106"/>
    <s v="2025-03-18"/>
    <n v="15198"/>
    <n v="3"/>
    <n v="1082"/>
    <n v="2025"/>
    <x v="2"/>
    <n v="7.1193578102381888E-2"/>
  </r>
  <r>
    <n v="1058"/>
    <n v="3"/>
    <n v="110"/>
    <s v="2025-03-01"/>
    <n v="2669"/>
    <n v="1"/>
    <n v="227"/>
    <n v="2025"/>
    <x v="2"/>
    <n v="8.5050580741850887E-2"/>
  </r>
  <r>
    <n v="1059"/>
    <n v="18"/>
    <n v="103"/>
    <s v="2025-01-25"/>
    <n v="46478"/>
    <n v="3"/>
    <n v="4327"/>
    <n v="2025"/>
    <x v="3"/>
    <n v="9.3097809716424978E-2"/>
  </r>
  <r>
    <n v="1060"/>
    <n v="5"/>
    <n v="109"/>
    <s v="2025-05-23"/>
    <n v="2637"/>
    <n v="5"/>
    <n v="452"/>
    <n v="2025"/>
    <x v="1"/>
    <n v="0.1714069017823284"/>
  </r>
  <r>
    <n v="1061"/>
    <n v="3"/>
    <n v="104"/>
    <s v="2025-04-10"/>
    <n v="43410"/>
    <n v="4"/>
    <n v="5482"/>
    <n v="2025"/>
    <x v="4"/>
    <n v="0.126284266298088"/>
  </r>
  <r>
    <n v="1062"/>
    <n v="11"/>
    <n v="105"/>
    <s v="2025-01-13"/>
    <n v="10549"/>
    <n v="9"/>
    <n v="2100"/>
    <n v="2025"/>
    <x v="3"/>
    <n v="0.19907100199071001"/>
  </r>
  <r>
    <n v="1063"/>
    <n v="17"/>
    <n v="106"/>
    <s v="2025-02-09"/>
    <n v="1444"/>
    <n v="8"/>
    <n v="122"/>
    <n v="2025"/>
    <x v="5"/>
    <n v="8.4487534626038779E-2"/>
  </r>
  <r>
    <n v="1064"/>
    <n v="4"/>
    <n v="104"/>
    <s v="2025-03-07"/>
    <n v="30696"/>
    <n v="6"/>
    <n v="3856"/>
    <n v="2025"/>
    <x v="2"/>
    <n v="0.12561897315611154"/>
  </r>
  <r>
    <n v="1065"/>
    <n v="7"/>
    <n v="105"/>
    <s v="2025-01-29"/>
    <n v="2211"/>
    <n v="6"/>
    <n v="373"/>
    <n v="2025"/>
    <x v="3"/>
    <n v="0.16870194482134782"/>
  </r>
  <r>
    <n v="1066"/>
    <n v="15"/>
    <n v="105"/>
    <s v="2025-03-16"/>
    <n v="23048"/>
    <n v="6"/>
    <n v="2521"/>
    <n v="2025"/>
    <x v="2"/>
    <n v="0.10938042346407498"/>
  </r>
  <r>
    <n v="1067"/>
    <n v="18"/>
    <n v="103"/>
    <s v="2025-03-12"/>
    <n v="43932"/>
    <n v="7"/>
    <n v="3640"/>
    <n v="2025"/>
    <x v="2"/>
    <n v="8.2855321861057998E-2"/>
  </r>
  <r>
    <n v="1068"/>
    <n v="16"/>
    <n v="110"/>
    <s v="2025-06-19"/>
    <n v="13661"/>
    <n v="9"/>
    <n v="1168"/>
    <n v="2025"/>
    <x v="0"/>
    <n v="8.5498865383207667E-2"/>
  </r>
  <r>
    <n v="1069"/>
    <n v="4"/>
    <n v="103"/>
    <s v="2025-04-07"/>
    <n v="8381"/>
    <n v="9"/>
    <n v="981"/>
    <n v="2025"/>
    <x v="4"/>
    <n v="0.11705047130414031"/>
  </r>
  <r>
    <n v="1070"/>
    <n v="6"/>
    <n v="107"/>
    <s v="2025-05-12"/>
    <n v="24835"/>
    <n v="4"/>
    <n v="1710"/>
    <n v="2025"/>
    <x v="1"/>
    <n v="6.8854439299375875E-2"/>
  </r>
  <r>
    <n v="1071"/>
    <n v="14"/>
    <n v="101"/>
    <s v="2025-01-14"/>
    <n v="9124"/>
    <n v="3"/>
    <n v="1725"/>
    <n v="2025"/>
    <x v="3"/>
    <n v="0.18906181499342395"/>
  </r>
  <r>
    <n v="1072"/>
    <n v="20"/>
    <n v="110"/>
    <s v="2025-03-07"/>
    <n v="18658"/>
    <n v="6"/>
    <n v="1165"/>
    <n v="2025"/>
    <x v="2"/>
    <n v="6.2439704148354591E-2"/>
  </r>
  <r>
    <n v="1073"/>
    <n v="10"/>
    <n v="101"/>
    <s v="2025-05-26"/>
    <n v="9966"/>
    <n v="7"/>
    <n v="937"/>
    <n v="2025"/>
    <x v="1"/>
    <n v="9.4019666867348986E-2"/>
  </r>
  <r>
    <n v="1074"/>
    <n v="9"/>
    <n v="109"/>
    <s v="2025-01-26"/>
    <n v="31747"/>
    <n v="10"/>
    <n v="2749"/>
    <n v="2025"/>
    <x v="3"/>
    <n v="8.6590858978801144E-2"/>
  </r>
  <r>
    <n v="1075"/>
    <n v="9"/>
    <n v="101"/>
    <s v="2025-04-12"/>
    <n v="8233"/>
    <n v="6"/>
    <n v="747"/>
    <n v="2025"/>
    <x v="4"/>
    <n v="9.0732418316531033E-2"/>
  </r>
  <r>
    <n v="1076"/>
    <n v="17"/>
    <n v="109"/>
    <s v="2025-06-26"/>
    <n v="28441"/>
    <n v="9"/>
    <n v="4565"/>
    <n v="2025"/>
    <x v="0"/>
    <n v="0.16050771773144404"/>
  </r>
  <r>
    <n v="1077"/>
    <n v="5"/>
    <n v="105"/>
    <s v="2025-06-19"/>
    <n v="44029"/>
    <n v="6"/>
    <n v="5133"/>
    <n v="2025"/>
    <x v="0"/>
    <n v="0.11658225260623679"/>
  </r>
  <r>
    <n v="1078"/>
    <n v="19"/>
    <n v="110"/>
    <s v="2025-01-09"/>
    <n v="13046"/>
    <n v="4"/>
    <n v="2077"/>
    <n v="2025"/>
    <x v="3"/>
    <n v="0.15920588686187337"/>
  </r>
  <r>
    <n v="1079"/>
    <n v="8"/>
    <n v="106"/>
    <s v="2025-01-18"/>
    <n v="5975"/>
    <n v="1"/>
    <n v="451"/>
    <n v="2025"/>
    <x v="3"/>
    <n v="7.5481171548117149E-2"/>
  </r>
  <r>
    <n v="1080"/>
    <n v="18"/>
    <n v="105"/>
    <s v="2025-02-13"/>
    <n v="6930"/>
    <n v="3"/>
    <n v="1285"/>
    <n v="2025"/>
    <x v="5"/>
    <n v="0.18542568542568544"/>
  </r>
  <r>
    <n v="1081"/>
    <n v="6"/>
    <n v="107"/>
    <s v="2025-06-04"/>
    <n v="44166"/>
    <n v="10"/>
    <n v="7954"/>
    <n v="2025"/>
    <x v="0"/>
    <n v="0.18009328442693476"/>
  </r>
  <r>
    <n v="1082"/>
    <n v="17"/>
    <n v="101"/>
    <s v="2025-03-25"/>
    <n v="49459"/>
    <n v="7"/>
    <n v="4640"/>
    <n v="2025"/>
    <x v="2"/>
    <n v="9.3815079156473039E-2"/>
  </r>
  <r>
    <n v="1083"/>
    <n v="17"/>
    <n v="106"/>
    <s v="2025-04-14"/>
    <n v="48983"/>
    <n v="1"/>
    <n v="4956"/>
    <n v="2025"/>
    <x v="4"/>
    <n v="0.10117795970030419"/>
  </r>
  <r>
    <n v="1084"/>
    <n v="12"/>
    <n v="106"/>
    <s v="2025-01-02"/>
    <n v="34995"/>
    <n v="1"/>
    <n v="3899"/>
    <n v="2025"/>
    <x v="3"/>
    <n v="0.1114159165595085"/>
  </r>
  <r>
    <n v="1085"/>
    <n v="1"/>
    <n v="109"/>
    <s v="2025-01-17"/>
    <n v="43779"/>
    <n v="6"/>
    <n v="6467"/>
    <n v="2025"/>
    <x v="3"/>
    <n v="0.14771922611297655"/>
  </r>
  <r>
    <n v="1086"/>
    <n v="6"/>
    <n v="106"/>
    <s v="2025-01-05"/>
    <n v="21230"/>
    <n v="4"/>
    <n v="3179"/>
    <n v="2025"/>
    <x v="3"/>
    <n v="0.14974093264248706"/>
  </r>
  <r>
    <n v="1087"/>
    <n v="15"/>
    <n v="103"/>
    <s v="2025-02-25"/>
    <n v="27590"/>
    <n v="5"/>
    <n v="1678"/>
    <n v="2025"/>
    <x v="5"/>
    <n v="6.0819137368611817E-2"/>
  </r>
  <r>
    <n v="1088"/>
    <n v="2"/>
    <n v="107"/>
    <s v="2025-04-01"/>
    <n v="48649"/>
    <n v="1"/>
    <n v="2585"/>
    <n v="2025"/>
    <x v="4"/>
    <n v="5.3135727353080225E-2"/>
  </r>
  <r>
    <n v="1089"/>
    <n v="8"/>
    <n v="104"/>
    <s v="2025-04-23"/>
    <n v="4258"/>
    <n v="9"/>
    <n v="473"/>
    <n v="2025"/>
    <x v="4"/>
    <n v="0.11108501643964303"/>
  </r>
  <r>
    <n v="1090"/>
    <n v="6"/>
    <n v="108"/>
    <s v="2025-06-12"/>
    <n v="34887"/>
    <n v="2"/>
    <n v="3674"/>
    <n v="2025"/>
    <x v="0"/>
    <n v="0.10531143405853183"/>
  </r>
  <r>
    <n v="1091"/>
    <n v="3"/>
    <n v="110"/>
    <s v="2025-04-02"/>
    <n v="3016"/>
    <n v="6"/>
    <n v="270"/>
    <n v="2025"/>
    <x v="4"/>
    <n v="8.952254641909814E-2"/>
  </r>
  <r>
    <n v="1092"/>
    <n v="16"/>
    <n v="106"/>
    <s v="2025-06-03"/>
    <n v="24932"/>
    <n v="4"/>
    <n v="2269"/>
    <n v="2025"/>
    <x v="0"/>
    <n v="9.1007540510187709E-2"/>
  </r>
  <r>
    <n v="1093"/>
    <n v="8"/>
    <n v="104"/>
    <s v="2025-01-11"/>
    <n v="18040"/>
    <n v="3"/>
    <n v="1928"/>
    <n v="2025"/>
    <x v="3"/>
    <n v="0.10687361419068736"/>
  </r>
  <r>
    <n v="1094"/>
    <n v="19"/>
    <n v="102"/>
    <s v="2025-01-27"/>
    <n v="19813"/>
    <n v="6"/>
    <n v="2254"/>
    <n v="2025"/>
    <x v="3"/>
    <n v="0.11376369050623328"/>
  </r>
  <r>
    <n v="1095"/>
    <n v="15"/>
    <n v="102"/>
    <s v="2025-03-17"/>
    <n v="5789"/>
    <n v="1"/>
    <n v="383"/>
    <n v="2025"/>
    <x v="2"/>
    <n v="6.6159958542062539E-2"/>
  </r>
  <r>
    <n v="1096"/>
    <n v="1"/>
    <n v="110"/>
    <s v="2025-04-14"/>
    <n v="37677"/>
    <n v="2"/>
    <n v="5667"/>
    <n v="2025"/>
    <x v="4"/>
    <n v="0.15041006449558086"/>
  </r>
  <r>
    <n v="1097"/>
    <n v="19"/>
    <n v="108"/>
    <s v="2025-03-27"/>
    <n v="7335"/>
    <n v="9"/>
    <n v="1170"/>
    <n v="2025"/>
    <x v="2"/>
    <n v="0.15950920245398773"/>
  </r>
  <r>
    <n v="1098"/>
    <n v="6"/>
    <n v="105"/>
    <s v="2025-05-22"/>
    <n v="44768"/>
    <n v="7"/>
    <n v="7313"/>
    <n v="2025"/>
    <x v="1"/>
    <n v="0.16335328806290209"/>
  </r>
  <r>
    <n v="1099"/>
    <n v="11"/>
    <n v="105"/>
    <s v="2025-05-04"/>
    <n v="49599"/>
    <n v="4"/>
    <n v="9632"/>
    <n v="2025"/>
    <x v="1"/>
    <n v="0.19419746365854151"/>
  </r>
  <r>
    <n v="1100"/>
    <n v="13"/>
    <n v="107"/>
    <s v="2025-05-12"/>
    <n v="43667"/>
    <n v="1"/>
    <n v="6829"/>
    <n v="2025"/>
    <x v="1"/>
    <n v="0.15638811917466278"/>
  </r>
  <r>
    <n v="1101"/>
    <n v="5"/>
    <n v="107"/>
    <s v="2025-01-23"/>
    <n v="19868"/>
    <n v="8"/>
    <n v="3040"/>
    <n v="2025"/>
    <x v="3"/>
    <n v="0.15300986510972417"/>
  </r>
  <r>
    <n v="1102"/>
    <n v="18"/>
    <n v="102"/>
    <s v="2025-06-04"/>
    <n v="41791"/>
    <n v="7"/>
    <n v="6805"/>
    <n v="2025"/>
    <x v="0"/>
    <n v="0.16283410303653897"/>
  </r>
  <r>
    <n v="1103"/>
    <n v="15"/>
    <n v="107"/>
    <s v="2025-05-18"/>
    <n v="41776"/>
    <n v="7"/>
    <n v="3371"/>
    <n v="2025"/>
    <x v="1"/>
    <n v="8.0692263500574499E-2"/>
  </r>
  <r>
    <n v="1104"/>
    <n v="7"/>
    <n v="103"/>
    <s v="2025-04-02"/>
    <n v="5993"/>
    <n v="4"/>
    <n v="1116"/>
    <n v="2025"/>
    <x v="4"/>
    <n v="0.18621725346237278"/>
  </r>
  <r>
    <n v="1105"/>
    <n v="3"/>
    <n v="102"/>
    <s v="2025-03-21"/>
    <n v="4335"/>
    <n v="4"/>
    <n v="649"/>
    <n v="2025"/>
    <x v="2"/>
    <n v="0.14971164936562861"/>
  </r>
  <r>
    <n v="1106"/>
    <n v="3"/>
    <n v="107"/>
    <s v="2025-06-02"/>
    <n v="27693"/>
    <n v="4"/>
    <n v="4784"/>
    <n v="2025"/>
    <x v="0"/>
    <n v="0.17275123677463619"/>
  </r>
  <r>
    <n v="1107"/>
    <n v="8"/>
    <n v="102"/>
    <s v="2025-01-15"/>
    <n v="10790"/>
    <n v="8"/>
    <n v="1688"/>
    <n v="2025"/>
    <x v="3"/>
    <n v="0.15644114921223354"/>
  </r>
  <r>
    <n v="1108"/>
    <n v="17"/>
    <n v="106"/>
    <s v="2025-03-04"/>
    <n v="26348"/>
    <n v="5"/>
    <n v="1956"/>
    <n v="2025"/>
    <x v="2"/>
    <n v="7.4237133748292092E-2"/>
  </r>
  <r>
    <n v="1109"/>
    <n v="5"/>
    <n v="107"/>
    <s v="2025-03-05"/>
    <n v="27533"/>
    <n v="1"/>
    <n v="2907"/>
    <n v="2025"/>
    <x v="2"/>
    <n v="0.10558239203864453"/>
  </r>
  <r>
    <n v="1110"/>
    <n v="6"/>
    <n v="103"/>
    <s v="2025-03-05"/>
    <n v="27872"/>
    <n v="6"/>
    <n v="5435"/>
    <n v="2025"/>
    <x v="2"/>
    <n v="0.19499856486796785"/>
  </r>
  <r>
    <n v="1111"/>
    <n v="10"/>
    <n v="110"/>
    <s v="2025-01-04"/>
    <n v="42456"/>
    <n v="8"/>
    <n v="2822"/>
    <n v="2025"/>
    <x v="3"/>
    <n v="6.6468814772941393E-2"/>
  </r>
  <r>
    <n v="1112"/>
    <n v="4"/>
    <n v="101"/>
    <s v="2025-06-07"/>
    <n v="16166"/>
    <n v="4"/>
    <n v="3099"/>
    <n v="2025"/>
    <x v="0"/>
    <n v="0.19169862674749474"/>
  </r>
  <r>
    <n v="1113"/>
    <n v="1"/>
    <n v="103"/>
    <s v="2025-02-06"/>
    <n v="46126"/>
    <n v="6"/>
    <n v="5910"/>
    <n v="2025"/>
    <x v="5"/>
    <n v="0.12812730347309542"/>
  </r>
  <r>
    <n v="1114"/>
    <n v="14"/>
    <n v="101"/>
    <s v="2025-05-18"/>
    <n v="23196"/>
    <n v="5"/>
    <n v="1904"/>
    <n v="2025"/>
    <x v="1"/>
    <n v="8.2083117778927406E-2"/>
  </r>
  <r>
    <n v="1115"/>
    <n v="14"/>
    <n v="102"/>
    <s v="2025-06-25"/>
    <n v="18538"/>
    <n v="4"/>
    <n v="3651"/>
    <n v="2025"/>
    <x v="0"/>
    <n v="0.19694681195382457"/>
  </r>
  <r>
    <n v="1116"/>
    <n v="15"/>
    <n v="105"/>
    <s v="2025-06-05"/>
    <n v="31433"/>
    <n v="4"/>
    <n v="5537"/>
    <n v="2025"/>
    <x v="0"/>
    <n v="0.17615245124550633"/>
  </r>
  <r>
    <n v="1117"/>
    <n v="6"/>
    <n v="103"/>
    <s v="2025-01-06"/>
    <n v="1199"/>
    <n v="10"/>
    <n v="93"/>
    <n v="2025"/>
    <x v="3"/>
    <n v="7.7564637197664724E-2"/>
  </r>
  <r>
    <n v="1118"/>
    <n v="9"/>
    <n v="102"/>
    <s v="2025-06-16"/>
    <n v="20066"/>
    <n v="6"/>
    <n v="2991"/>
    <n v="2025"/>
    <x v="0"/>
    <n v="0.14905810824279878"/>
  </r>
  <r>
    <n v="1119"/>
    <n v="13"/>
    <n v="104"/>
    <s v="2025-05-20"/>
    <n v="7617"/>
    <n v="10"/>
    <n v="1263"/>
    <n v="2025"/>
    <x v="1"/>
    <n v="0.16581331232768806"/>
  </r>
  <r>
    <n v="1120"/>
    <n v="13"/>
    <n v="108"/>
    <s v="2025-01-26"/>
    <n v="13418"/>
    <n v="8"/>
    <n v="920"/>
    <n v="2025"/>
    <x v="3"/>
    <n v="6.8564614696676102E-2"/>
  </r>
  <r>
    <n v="1121"/>
    <n v="8"/>
    <n v="109"/>
    <s v="2025-02-02"/>
    <n v="12032"/>
    <n v="2"/>
    <n v="1665"/>
    <n v="2025"/>
    <x v="5"/>
    <n v="0.1383809840425532"/>
  </r>
  <r>
    <n v="1122"/>
    <n v="3"/>
    <n v="102"/>
    <s v="2025-02-27"/>
    <n v="47181"/>
    <n v="9"/>
    <n v="6676"/>
    <n v="2025"/>
    <x v="5"/>
    <n v="0.1414976367605604"/>
  </r>
  <r>
    <n v="1123"/>
    <n v="20"/>
    <n v="106"/>
    <s v="2025-02-04"/>
    <n v="19800"/>
    <n v="4"/>
    <n v="1888"/>
    <n v="2025"/>
    <x v="5"/>
    <n v="9.5353535353535357E-2"/>
  </r>
  <r>
    <n v="1124"/>
    <n v="1"/>
    <n v="102"/>
    <s v="2025-02-26"/>
    <n v="15088"/>
    <n v="9"/>
    <n v="2999"/>
    <n v="2025"/>
    <x v="5"/>
    <n v="0.19876723223753975"/>
  </r>
  <r>
    <n v="1125"/>
    <n v="11"/>
    <n v="102"/>
    <s v="2025-02-08"/>
    <n v="923"/>
    <n v="6"/>
    <n v="141"/>
    <n v="2025"/>
    <x v="5"/>
    <n v="0.15276273022751896"/>
  </r>
  <r>
    <n v="1126"/>
    <n v="3"/>
    <n v="102"/>
    <s v="2025-03-30"/>
    <n v="37301"/>
    <n v="1"/>
    <n v="6120"/>
    <n v="2025"/>
    <x v="2"/>
    <n v="0.16407066834669312"/>
  </r>
  <r>
    <n v="1127"/>
    <n v="6"/>
    <n v="110"/>
    <s v="2025-05-27"/>
    <n v="26990"/>
    <n v="2"/>
    <n v="5015"/>
    <n v="2025"/>
    <x v="1"/>
    <n v="0.18580955909596147"/>
  </r>
  <r>
    <n v="1128"/>
    <n v="5"/>
    <n v="104"/>
    <s v="2025-01-21"/>
    <n v="37426"/>
    <n v="10"/>
    <n v="5118"/>
    <n v="2025"/>
    <x v="3"/>
    <n v="0.13674985304333886"/>
  </r>
  <r>
    <n v="1129"/>
    <n v="9"/>
    <n v="105"/>
    <s v="2025-01-30"/>
    <n v="10139"/>
    <n v="8"/>
    <n v="2007"/>
    <n v="2025"/>
    <x v="3"/>
    <n v="0.19794851563270541"/>
  </r>
  <r>
    <n v="1130"/>
    <n v="16"/>
    <n v="102"/>
    <s v="2025-05-10"/>
    <n v="31810"/>
    <n v="7"/>
    <n v="2321"/>
    <n v="2025"/>
    <x v="1"/>
    <n v="7.296447657969192E-2"/>
  </r>
  <r>
    <n v="1131"/>
    <n v="13"/>
    <n v="101"/>
    <s v="2025-04-04"/>
    <n v="30154"/>
    <n v="2"/>
    <n v="1559"/>
    <n v="2025"/>
    <x v="4"/>
    <n v="5.1701266830271271E-2"/>
  </r>
  <r>
    <n v="1132"/>
    <n v="5"/>
    <n v="103"/>
    <s v="2025-04-08"/>
    <n v="48132"/>
    <n v="5"/>
    <n v="2717"/>
    <n v="2025"/>
    <x v="4"/>
    <n v="5.6448932103382365E-2"/>
  </r>
  <r>
    <n v="1133"/>
    <n v="19"/>
    <n v="104"/>
    <s v="2025-06-11"/>
    <n v="39662"/>
    <n v="2"/>
    <n v="7267"/>
    <n v="2025"/>
    <x v="0"/>
    <n v="0.18322323634713328"/>
  </r>
  <r>
    <n v="1134"/>
    <n v="14"/>
    <n v="103"/>
    <s v="2025-02-14"/>
    <n v="13379"/>
    <n v="3"/>
    <n v="1888"/>
    <n v="2025"/>
    <x v="5"/>
    <n v="0.1411166753868002"/>
  </r>
  <r>
    <n v="1135"/>
    <n v="5"/>
    <n v="105"/>
    <s v="2025-01-22"/>
    <n v="46207"/>
    <n v="6"/>
    <n v="8488"/>
    <n v="2025"/>
    <x v="3"/>
    <n v="0.18369511113034823"/>
  </r>
  <r>
    <n v="1136"/>
    <n v="18"/>
    <n v="109"/>
    <s v="2025-03-31"/>
    <n v="17850"/>
    <n v="4"/>
    <n v="1091"/>
    <n v="2025"/>
    <x v="2"/>
    <n v="6.1120448179271709E-2"/>
  </r>
  <r>
    <n v="1137"/>
    <n v="16"/>
    <n v="107"/>
    <s v="2025-05-22"/>
    <n v="3777"/>
    <n v="5"/>
    <n v="632"/>
    <n v="2025"/>
    <x v="1"/>
    <n v="0.16732856764628012"/>
  </r>
  <r>
    <n v="1138"/>
    <n v="5"/>
    <n v="103"/>
    <s v="2025-04-15"/>
    <n v="2056"/>
    <n v="10"/>
    <n v="178"/>
    <n v="2025"/>
    <x v="4"/>
    <n v="8.6575875486381321E-2"/>
  </r>
  <r>
    <n v="1139"/>
    <n v="16"/>
    <n v="105"/>
    <s v="2025-05-18"/>
    <n v="695"/>
    <n v="1"/>
    <n v="48"/>
    <n v="2025"/>
    <x v="1"/>
    <n v="6.9064748201438847E-2"/>
  </r>
  <r>
    <n v="1140"/>
    <n v="15"/>
    <n v="108"/>
    <s v="2025-02-01"/>
    <n v="3578"/>
    <n v="5"/>
    <n v="256"/>
    <n v="2025"/>
    <x v="5"/>
    <n v="7.1548351034097263E-2"/>
  </r>
  <r>
    <n v="1141"/>
    <n v="3"/>
    <n v="102"/>
    <s v="2025-03-16"/>
    <n v="42558"/>
    <n v="4"/>
    <n v="2165"/>
    <n v="2025"/>
    <x v="2"/>
    <n v="5.0871751492081396E-2"/>
  </r>
  <r>
    <n v="1142"/>
    <n v="2"/>
    <n v="105"/>
    <s v="2025-06-06"/>
    <n v="25692"/>
    <n v="2"/>
    <n v="3597"/>
    <n v="2025"/>
    <x v="0"/>
    <n v="0.14000467071461933"/>
  </r>
  <r>
    <n v="1143"/>
    <n v="2"/>
    <n v="101"/>
    <s v="2025-04-20"/>
    <n v="34911"/>
    <n v="3"/>
    <n v="3931"/>
    <n v="2025"/>
    <x v="4"/>
    <n v="0.11260061298731058"/>
  </r>
  <r>
    <n v="1144"/>
    <n v="19"/>
    <n v="106"/>
    <s v="2025-05-20"/>
    <n v="34603"/>
    <n v="7"/>
    <n v="4992"/>
    <n v="2025"/>
    <x v="1"/>
    <n v="0.14426494812588503"/>
  </r>
  <r>
    <n v="1145"/>
    <n v="1"/>
    <n v="107"/>
    <s v="2025-06-23"/>
    <n v="47057"/>
    <n v="3"/>
    <n v="6244"/>
    <n v="2025"/>
    <x v="0"/>
    <n v="0.13269014174299254"/>
  </r>
  <r>
    <n v="1146"/>
    <n v="3"/>
    <n v="104"/>
    <s v="2025-01-31"/>
    <n v="45644"/>
    <n v="6"/>
    <n v="3465"/>
    <n v="2025"/>
    <x v="3"/>
    <n v="7.5913592147927436E-2"/>
  </r>
  <r>
    <n v="1147"/>
    <n v="10"/>
    <n v="110"/>
    <s v="2025-06-27"/>
    <n v="45648"/>
    <n v="5"/>
    <n v="8720"/>
    <n v="2025"/>
    <x v="0"/>
    <n v="0.19102698913424465"/>
  </r>
  <r>
    <n v="1148"/>
    <n v="8"/>
    <n v="105"/>
    <s v="2025-01-06"/>
    <n v="34544"/>
    <n v="10"/>
    <n v="6499"/>
    <n v="2025"/>
    <x v="3"/>
    <n v="0.18813686892079667"/>
  </r>
  <r>
    <n v="1149"/>
    <n v="9"/>
    <n v="107"/>
    <s v="2025-02-23"/>
    <n v="19225"/>
    <n v="9"/>
    <n v="3609"/>
    <n v="2025"/>
    <x v="5"/>
    <n v="0.18772431729518857"/>
  </r>
  <r>
    <n v="1150"/>
    <n v="14"/>
    <n v="101"/>
    <s v="2025-05-09"/>
    <n v="39930"/>
    <n v="7"/>
    <n v="3970"/>
    <n v="2025"/>
    <x v="1"/>
    <n v="9.942399198597545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935F7-4EF2-4C2B-A64B-36B61B0F3B24}" name="PivotTable2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3:C10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product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!$A$1:$J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E7B01-9A97-4E47-9DE7-7FFB16D6C26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3"/>
        <item x="5"/>
        <item x="2"/>
        <item x="4"/>
        <item x="1"/>
        <item x="0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F4FE-C06A-4278-A983-2DE95E71AAB3}">
  <dimension ref="A3:C10"/>
  <sheetViews>
    <sheetView tabSelected="1" workbookViewId="0">
      <selection activeCell="B3" sqref="B3:B10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42578125" bestFit="1" customWidth="1"/>
    <col min="4" max="4" width="12.5703125" bestFit="1" customWidth="1"/>
  </cols>
  <sheetData>
    <row r="3" spans="1:3" x14ac:dyDescent="0.25">
      <c r="A3" s="4" t="s">
        <v>159</v>
      </c>
      <c r="B3" t="s">
        <v>169</v>
      </c>
      <c r="C3" t="s">
        <v>168</v>
      </c>
    </row>
    <row r="4" spans="1:3" x14ac:dyDescent="0.25">
      <c r="A4" s="5" t="s">
        <v>163</v>
      </c>
      <c r="B4" s="6">
        <v>65317</v>
      </c>
      <c r="C4" s="6">
        <v>2417</v>
      </c>
    </row>
    <row r="5" spans="1:3" x14ac:dyDescent="0.25">
      <c r="A5" s="5" t="s">
        <v>161</v>
      </c>
      <c r="B5" s="6">
        <v>47049</v>
      </c>
      <c r="C5" s="6">
        <v>1986</v>
      </c>
    </row>
    <row r="6" spans="1:3" x14ac:dyDescent="0.25">
      <c r="A6" s="5" t="s">
        <v>160</v>
      </c>
      <c r="B6" s="6">
        <v>105546</v>
      </c>
      <c r="C6" s="6">
        <v>3066</v>
      </c>
    </row>
    <row r="7" spans="1:3" x14ac:dyDescent="0.25">
      <c r="A7" s="5" t="s">
        <v>165</v>
      </c>
      <c r="B7" s="6">
        <v>119768</v>
      </c>
      <c r="C7" s="6">
        <v>3075</v>
      </c>
    </row>
    <row r="8" spans="1:3" x14ac:dyDescent="0.25">
      <c r="A8" s="5" t="s">
        <v>162</v>
      </c>
      <c r="B8" s="6">
        <v>60559</v>
      </c>
      <c r="C8" s="6">
        <v>2620</v>
      </c>
    </row>
    <row r="9" spans="1:3" x14ac:dyDescent="0.25">
      <c r="A9" s="5" t="s">
        <v>164</v>
      </c>
      <c r="B9" s="6">
        <v>79811</v>
      </c>
      <c r="C9" s="6">
        <v>2622</v>
      </c>
    </row>
    <row r="10" spans="1:3" x14ac:dyDescent="0.25">
      <c r="A10" s="5" t="s">
        <v>166</v>
      </c>
      <c r="B10" s="6">
        <v>478050</v>
      </c>
      <c r="C10" s="6">
        <v>15786</v>
      </c>
    </row>
  </sheetData>
  <sortState xmlns:xlrd2="http://schemas.microsoft.com/office/spreadsheetml/2017/richdata2" ref="A3:C10">
    <sortCondition descending="1" ref="C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69D3-B1FC-45C4-96E7-72AC12AEDEE5}">
  <dimension ref="A3:B10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4" t="s">
        <v>159</v>
      </c>
      <c r="B3" t="s">
        <v>167</v>
      </c>
    </row>
    <row r="4" spans="1:2" x14ac:dyDescent="0.25">
      <c r="A4" s="5" t="s">
        <v>160</v>
      </c>
      <c r="B4" s="6">
        <v>788835</v>
      </c>
    </row>
    <row r="5" spans="1:2" x14ac:dyDescent="0.25">
      <c r="A5" s="5" t="s">
        <v>161</v>
      </c>
      <c r="B5" s="6">
        <v>368053</v>
      </c>
    </row>
    <row r="6" spans="1:2" x14ac:dyDescent="0.25">
      <c r="A6" s="5" t="s">
        <v>162</v>
      </c>
      <c r="B6" s="6">
        <v>574835</v>
      </c>
    </row>
    <row r="7" spans="1:2" x14ac:dyDescent="0.25">
      <c r="A7" s="5" t="s">
        <v>163</v>
      </c>
      <c r="B7" s="6">
        <v>607388</v>
      </c>
    </row>
    <row r="8" spans="1:2" x14ac:dyDescent="0.25">
      <c r="A8" s="5" t="s">
        <v>164</v>
      </c>
      <c r="B8" s="6">
        <v>654620</v>
      </c>
    </row>
    <row r="9" spans="1:2" x14ac:dyDescent="0.25">
      <c r="A9" s="5" t="s">
        <v>165</v>
      </c>
      <c r="B9" s="6">
        <v>866325</v>
      </c>
    </row>
    <row r="10" spans="1:2" x14ac:dyDescent="0.25">
      <c r="A10" s="5" t="s">
        <v>166</v>
      </c>
      <c r="B10" s="6">
        <v>3860056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I1" sqref="A1:J151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3.7109375" bestFit="1" customWidth="1"/>
    <col min="4" max="4" width="14.140625" style="3" bestFit="1" customWidth="1"/>
    <col min="5" max="5" width="7" bestFit="1" customWidth="1"/>
    <col min="6" max="6" width="10.85546875" bestFit="1" customWidth="1"/>
    <col min="7" max="7" width="7.7109375" bestFit="1" customWidth="1"/>
    <col min="9" max="9" width="10.42578125" bestFit="1" customWidth="1"/>
    <col min="10" max="10" width="20.28515625" bestFit="1" customWidth="1"/>
  </cols>
  <sheetData>
    <row r="1" spans="1:10" s="1" customFormat="1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156</v>
      </c>
      <c r="I1" s="1" t="s">
        <v>157</v>
      </c>
      <c r="J1" s="1" t="s">
        <v>158</v>
      </c>
    </row>
    <row r="2" spans="1:10" x14ac:dyDescent="0.25">
      <c r="A2">
        <v>1001</v>
      </c>
      <c r="B2">
        <v>13</v>
      </c>
      <c r="C2">
        <v>108</v>
      </c>
      <c r="D2" s="3" t="s">
        <v>7</v>
      </c>
      <c r="E2">
        <v>2711</v>
      </c>
      <c r="F2">
        <v>6</v>
      </c>
      <c r="G2">
        <v>422</v>
      </c>
      <c r="H2">
        <f>YEAR(D2)</f>
        <v>2025</v>
      </c>
      <c r="I2" t="str">
        <f>TEXT(D2,"mmmm")</f>
        <v>June</v>
      </c>
      <c r="J2">
        <f>G2/E2</f>
        <v>0.15566211729988935</v>
      </c>
    </row>
    <row r="3" spans="1:10" x14ac:dyDescent="0.25">
      <c r="A3">
        <v>1002</v>
      </c>
      <c r="B3">
        <v>15</v>
      </c>
      <c r="C3">
        <v>107</v>
      </c>
      <c r="D3" s="3" t="s">
        <v>8</v>
      </c>
      <c r="E3">
        <v>24040</v>
      </c>
      <c r="F3">
        <v>1</v>
      </c>
      <c r="G3">
        <v>2763</v>
      </c>
      <c r="H3">
        <f t="shared" ref="H3:H66" si="0">YEAR(D3)</f>
        <v>2025</v>
      </c>
      <c r="I3" t="str">
        <f t="shared" ref="I3:I66" si="1">TEXT(D3,"mmmm")</f>
        <v>May</v>
      </c>
      <c r="J3">
        <f t="shared" ref="J3:J66" si="2">G3/E3</f>
        <v>0.11493344425956739</v>
      </c>
    </row>
    <row r="4" spans="1:10" x14ac:dyDescent="0.25">
      <c r="A4">
        <v>1003</v>
      </c>
      <c r="B4">
        <v>12</v>
      </c>
      <c r="C4">
        <v>101</v>
      </c>
      <c r="D4" s="3" t="s">
        <v>9</v>
      </c>
      <c r="E4">
        <v>10069</v>
      </c>
      <c r="F4">
        <v>3</v>
      </c>
      <c r="G4">
        <v>925</v>
      </c>
      <c r="H4">
        <f t="shared" si="0"/>
        <v>2025</v>
      </c>
      <c r="I4" t="str">
        <f t="shared" si="1"/>
        <v>March</v>
      </c>
      <c r="J4">
        <f t="shared" si="2"/>
        <v>9.1866123746151551E-2</v>
      </c>
    </row>
    <row r="5" spans="1:10" x14ac:dyDescent="0.25">
      <c r="A5">
        <v>1004</v>
      </c>
      <c r="B5">
        <v>9</v>
      </c>
      <c r="C5">
        <v>110</v>
      </c>
      <c r="D5" s="3" t="s">
        <v>10</v>
      </c>
      <c r="E5">
        <v>35402</v>
      </c>
      <c r="F5">
        <v>6</v>
      </c>
      <c r="G5">
        <v>5873</v>
      </c>
      <c r="H5">
        <f t="shared" si="0"/>
        <v>2025</v>
      </c>
      <c r="I5" t="str">
        <f t="shared" si="1"/>
        <v>January</v>
      </c>
      <c r="J5">
        <f t="shared" si="2"/>
        <v>0.16589458222699283</v>
      </c>
    </row>
    <row r="6" spans="1:10" x14ac:dyDescent="0.25">
      <c r="A6">
        <v>1005</v>
      </c>
      <c r="B6">
        <v>8</v>
      </c>
      <c r="C6">
        <v>110</v>
      </c>
      <c r="D6" s="3" t="s">
        <v>11</v>
      </c>
      <c r="E6">
        <v>42938</v>
      </c>
      <c r="F6">
        <v>2</v>
      </c>
      <c r="G6">
        <v>3728</v>
      </c>
      <c r="H6">
        <f t="shared" si="0"/>
        <v>2025</v>
      </c>
      <c r="I6" t="str">
        <f t="shared" si="1"/>
        <v>June</v>
      </c>
      <c r="J6">
        <f t="shared" si="2"/>
        <v>8.682286086916019E-2</v>
      </c>
    </row>
    <row r="7" spans="1:10" x14ac:dyDescent="0.25">
      <c r="A7">
        <v>1006</v>
      </c>
      <c r="B7">
        <v>1</v>
      </c>
      <c r="C7">
        <v>105</v>
      </c>
      <c r="D7" s="3" t="s">
        <v>12</v>
      </c>
      <c r="E7">
        <v>35059</v>
      </c>
      <c r="F7">
        <v>1</v>
      </c>
      <c r="G7">
        <v>6474</v>
      </c>
      <c r="H7">
        <f t="shared" si="0"/>
        <v>2025</v>
      </c>
      <c r="I7" t="str">
        <f t="shared" si="1"/>
        <v>January</v>
      </c>
      <c r="J7">
        <f t="shared" si="2"/>
        <v>0.18466014432813257</v>
      </c>
    </row>
    <row r="8" spans="1:10" x14ac:dyDescent="0.25">
      <c r="A8">
        <v>1007</v>
      </c>
      <c r="B8">
        <v>17</v>
      </c>
      <c r="C8">
        <v>103</v>
      </c>
      <c r="D8" s="3" t="s">
        <v>13</v>
      </c>
      <c r="E8">
        <v>9437</v>
      </c>
      <c r="F8">
        <v>5</v>
      </c>
      <c r="G8">
        <v>892</v>
      </c>
      <c r="H8">
        <f t="shared" si="0"/>
        <v>2025</v>
      </c>
      <c r="I8" t="str">
        <f t="shared" si="1"/>
        <v>May</v>
      </c>
      <c r="J8">
        <f t="shared" si="2"/>
        <v>9.4521564056373852E-2</v>
      </c>
    </row>
    <row r="9" spans="1:10" x14ac:dyDescent="0.25">
      <c r="A9">
        <v>1008</v>
      </c>
      <c r="B9">
        <v>6</v>
      </c>
      <c r="C9">
        <v>101</v>
      </c>
      <c r="D9" s="3" t="s">
        <v>14</v>
      </c>
      <c r="E9">
        <v>34978</v>
      </c>
      <c r="F9">
        <v>6</v>
      </c>
      <c r="G9">
        <v>4161</v>
      </c>
      <c r="H9">
        <f t="shared" si="0"/>
        <v>2025</v>
      </c>
      <c r="I9" t="str">
        <f t="shared" si="1"/>
        <v>May</v>
      </c>
      <c r="J9">
        <f t="shared" si="2"/>
        <v>0.11896048945051176</v>
      </c>
    </row>
    <row r="10" spans="1:10" x14ac:dyDescent="0.25">
      <c r="A10">
        <v>1009</v>
      </c>
      <c r="B10">
        <v>13</v>
      </c>
      <c r="C10">
        <v>104</v>
      </c>
      <c r="D10" s="3" t="s">
        <v>15</v>
      </c>
      <c r="E10">
        <v>15143</v>
      </c>
      <c r="F10">
        <v>3</v>
      </c>
      <c r="G10">
        <v>2317</v>
      </c>
      <c r="H10">
        <f t="shared" si="0"/>
        <v>2025</v>
      </c>
      <c r="I10" t="str">
        <f t="shared" si="1"/>
        <v>April</v>
      </c>
      <c r="J10">
        <f t="shared" si="2"/>
        <v>0.15300799049065575</v>
      </c>
    </row>
    <row r="11" spans="1:10" x14ac:dyDescent="0.25">
      <c r="A11">
        <v>1010</v>
      </c>
      <c r="B11">
        <v>20</v>
      </c>
      <c r="C11">
        <v>110</v>
      </c>
      <c r="D11" s="3" t="s">
        <v>16</v>
      </c>
      <c r="E11">
        <v>6910</v>
      </c>
      <c r="F11">
        <v>2</v>
      </c>
      <c r="G11">
        <v>910</v>
      </c>
      <c r="H11">
        <f t="shared" si="0"/>
        <v>2025</v>
      </c>
      <c r="I11" t="str">
        <f t="shared" si="1"/>
        <v>April</v>
      </c>
      <c r="J11">
        <f t="shared" si="2"/>
        <v>0.13169319826338641</v>
      </c>
    </row>
    <row r="12" spans="1:10" x14ac:dyDescent="0.25">
      <c r="A12">
        <v>1011</v>
      </c>
      <c r="B12">
        <v>14</v>
      </c>
      <c r="C12">
        <v>101</v>
      </c>
      <c r="D12" s="3" t="s">
        <v>17</v>
      </c>
      <c r="E12">
        <v>10604</v>
      </c>
      <c r="F12">
        <v>9</v>
      </c>
      <c r="G12">
        <v>1235</v>
      </c>
      <c r="H12">
        <f t="shared" si="0"/>
        <v>2025</v>
      </c>
      <c r="I12" t="str">
        <f t="shared" si="1"/>
        <v>March</v>
      </c>
      <c r="J12">
        <f t="shared" si="2"/>
        <v>0.11646548472274613</v>
      </c>
    </row>
    <row r="13" spans="1:10" x14ac:dyDescent="0.25">
      <c r="A13">
        <v>1012</v>
      </c>
      <c r="B13">
        <v>7</v>
      </c>
      <c r="C13">
        <v>104</v>
      </c>
      <c r="D13" s="3" t="s">
        <v>18</v>
      </c>
      <c r="E13">
        <v>3816</v>
      </c>
      <c r="F13">
        <v>4</v>
      </c>
      <c r="G13">
        <v>436</v>
      </c>
      <c r="H13">
        <f t="shared" si="0"/>
        <v>2025</v>
      </c>
      <c r="I13" t="str">
        <f t="shared" si="1"/>
        <v>June</v>
      </c>
      <c r="J13">
        <f t="shared" si="2"/>
        <v>0.11425576519916142</v>
      </c>
    </row>
    <row r="14" spans="1:10" x14ac:dyDescent="0.25">
      <c r="A14">
        <v>1013</v>
      </c>
      <c r="B14">
        <v>5</v>
      </c>
      <c r="C14">
        <v>104</v>
      </c>
      <c r="D14" s="3" t="s">
        <v>19</v>
      </c>
      <c r="E14">
        <v>3295</v>
      </c>
      <c r="F14">
        <v>4</v>
      </c>
      <c r="G14">
        <v>615</v>
      </c>
      <c r="H14">
        <f t="shared" si="0"/>
        <v>2025</v>
      </c>
      <c r="I14" t="str">
        <f t="shared" si="1"/>
        <v>March</v>
      </c>
      <c r="J14">
        <f t="shared" si="2"/>
        <v>0.18664643399089528</v>
      </c>
    </row>
    <row r="15" spans="1:10" x14ac:dyDescent="0.25">
      <c r="A15">
        <v>1014</v>
      </c>
      <c r="B15">
        <v>8</v>
      </c>
      <c r="C15">
        <v>102</v>
      </c>
      <c r="D15" s="3" t="s">
        <v>20</v>
      </c>
      <c r="E15">
        <v>39439</v>
      </c>
      <c r="F15">
        <v>6</v>
      </c>
      <c r="G15">
        <v>3253</v>
      </c>
      <c r="H15">
        <f t="shared" si="0"/>
        <v>2025</v>
      </c>
      <c r="I15" t="str">
        <f t="shared" si="1"/>
        <v>June</v>
      </c>
      <c r="J15">
        <f t="shared" si="2"/>
        <v>8.2481807348056491E-2</v>
      </c>
    </row>
    <row r="16" spans="1:10" x14ac:dyDescent="0.25">
      <c r="A16">
        <v>1015</v>
      </c>
      <c r="B16">
        <v>8</v>
      </c>
      <c r="C16">
        <v>104</v>
      </c>
      <c r="D16" s="3" t="s">
        <v>21</v>
      </c>
      <c r="E16">
        <v>14485</v>
      </c>
      <c r="F16">
        <v>6</v>
      </c>
      <c r="G16">
        <v>2126</v>
      </c>
      <c r="H16">
        <f t="shared" si="0"/>
        <v>2025</v>
      </c>
      <c r="I16" t="str">
        <f t="shared" si="1"/>
        <v>February</v>
      </c>
      <c r="J16">
        <f t="shared" si="2"/>
        <v>0.14677252329996548</v>
      </c>
    </row>
    <row r="17" spans="1:10" x14ac:dyDescent="0.25">
      <c r="A17">
        <v>1016</v>
      </c>
      <c r="B17">
        <v>12</v>
      </c>
      <c r="C17">
        <v>102</v>
      </c>
      <c r="D17" s="3" t="s">
        <v>22</v>
      </c>
      <c r="E17">
        <v>46381</v>
      </c>
      <c r="F17">
        <v>9</v>
      </c>
      <c r="G17">
        <v>5779</v>
      </c>
      <c r="H17">
        <f t="shared" si="0"/>
        <v>2025</v>
      </c>
      <c r="I17" t="str">
        <f t="shared" si="1"/>
        <v>February</v>
      </c>
      <c r="J17">
        <f t="shared" si="2"/>
        <v>0.12459843470386581</v>
      </c>
    </row>
    <row r="18" spans="1:10" x14ac:dyDescent="0.25">
      <c r="A18">
        <v>1017</v>
      </c>
      <c r="B18">
        <v>17</v>
      </c>
      <c r="C18">
        <v>109</v>
      </c>
      <c r="D18" s="3" t="s">
        <v>23</v>
      </c>
      <c r="E18">
        <v>39111</v>
      </c>
      <c r="F18">
        <v>6</v>
      </c>
      <c r="G18">
        <v>7372</v>
      </c>
      <c r="H18">
        <f t="shared" si="0"/>
        <v>2025</v>
      </c>
      <c r="I18" t="str">
        <f t="shared" si="1"/>
        <v>June</v>
      </c>
      <c r="J18">
        <f t="shared" si="2"/>
        <v>0.18848917184423819</v>
      </c>
    </row>
    <row r="19" spans="1:10" x14ac:dyDescent="0.25">
      <c r="A19">
        <v>1018</v>
      </c>
      <c r="B19">
        <v>16</v>
      </c>
      <c r="C19">
        <v>105</v>
      </c>
      <c r="D19" s="3" t="s">
        <v>24</v>
      </c>
      <c r="E19">
        <v>40568</v>
      </c>
      <c r="F19">
        <v>4</v>
      </c>
      <c r="G19">
        <v>4197</v>
      </c>
      <c r="H19">
        <f t="shared" si="0"/>
        <v>2025</v>
      </c>
      <c r="I19" t="str">
        <f t="shared" si="1"/>
        <v>April</v>
      </c>
      <c r="J19">
        <f t="shared" si="2"/>
        <v>0.10345592585288897</v>
      </c>
    </row>
    <row r="20" spans="1:10" x14ac:dyDescent="0.25">
      <c r="A20">
        <v>1019</v>
      </c>
      <c r="B20">
        <v>8</v>
      </c>
      <c r="C20">
        <v>108</v>
      </c>
      <c r="D20" s="3" t="s">
        <v>25</v>
      </c>
      <c r="E20">
        <v>34341</v>
      </c>
      <c r="F20">
        <v>5</v>
      </c>
      <c r="G20">
        <v>4349</v>
      </c>
      <c r="H20">
        <f t="shared" si="0"/>
        <v>2025</v>
      </c>
      <c r="I20" t="str">
        <f t="shared" si="1"/>
        <v>June</v>
      </c>
      <c r="J20">
        <f t="shared" si="2"/>
        <v>0.12664162371509274</v>
      </c>
    </row>
    <row r="21" spans="1:10" x14ac:dyDescent="0.25">
      <c r="A21">
        <v>1020</v>
      </c>
      <c r="B21">
        <v>4</v>
      </c>
      <c r="C21">
        <v>102</v>
      </c>
      <c r="D21" s="3" t="s">
        <v>26</v>
      </c>
      <c r="E21">
        <v>49820</v>
      </c>
      <c r="F21">
        <v>1</v>
      </c>
      <c r="G21">
        <v>5801</v>
      </c>
      <c r="H21">
        <f t="shared" si="0"/>
        <v>2025</v>
      </c>
      <c r="I21" t="str">
        <f t="shared" si="1"/>
        <v>March</v>
      </c>
      <c r="J21">
        <f t="shared" si="2"/>
        <v>0.11643918105178643</v>
      </c>
    </row>
    <row r="22" spans="1:10" x14ac:dyDescent="0.25">
      <c r="A22">
        <v>1021</v>
      </c>
      <c r="B22">
        <v>1</v>
      </c>
      <c r="C22">
        <v>102</v>
      </c>
      <c r="D22" s="3" t="s">
        <v>27</v>
      </c>
      <c r="E22">
        <v>3988</v>
      </c>
      <c r="F22">
        <v>10</v>
      </c>
      <c r="G22">
        <v>596</v>
      </c>
      <c r="H22">
        <f t="shared" si="0"/>
        <v>2025</v>
      </c>
      <c r="I22" t="str">
        <f t="shared" si="1"/>
        <v>May</v>
      </c>
      <c r="J22">
        <f t="shared" si="2"/>
        <v>0.14944834503510532</v>
      </c>
    </row>
    <row r="23" spans="1:10" x14ac:dyDescent="0.25">
      <c r="A23">
        <v>1022</v>
      </c>
      <c r="B23">
        <v>15</v>
      </c>
      <c r="C23">
        <v>110</v>
      </c>
      <c r="D23" s="3" t="s">
        <v>28</v>
      </c>
      <c r="E23">
        <v>45477</v>
      </c>
      <c r="F23">
        <v>5</v>
      </c>
      <c r="G23">
        <v>4131</v>
      </c>
      <c r="H23">
        <f t="shared" si="0"/>
        <v>2025</v>
      </c>
      <c r="I23" t="str">
        <f t="shared" si="1"/>
        <v>April</v>
      </c>
      <c r="J23">
        <f t="shared" si="2"/>
        <v>9.0837126459528988E-2</v>
      </c>
    </row>
    <row r="24" spans="1:10" x14ac:dyDescent="0.25">
      <c r="A24">
        <v>1023</v>
      </c>
      <c r="B24">
        <v>14</v>
      </c>
      <c r="C24">
        <v>107</v>
      </c>
      <c r="D24" s="3" t="s">
        <v>29</v>
      </c>
      <c r="E24">
        <v>41571</v>
      </c>
      <c r="F24">
        <v>1</v>
      </c>
      <c r="G24">
        <v>3138</v>
      </c>
      <c r="H24">
        <f t="shared" si="0"/>
        <v>2025</v>
      </c>
      <c r="I24" t="str">
        <f t="shared" si="1"/>
        <v>June</v>
      </c>
      <c r="J24">
        <f t="shared" si="2"/>
        <v>7.5485314281590526E-2</v>
      </c>
    </row>
    <row r="25" spans="1:10" x14ac:dyDescent="0.25">
      <c r="A25">
        <v>1024</v>
      </c>
      <c r="B25">
        <v>15</v>
      </c>
      <c r="C25">
        <v>107</v>
      </c>
      <c r="D25" s="3" t="s">
        <v>30</v>
      </c>
      <c r="E25">
        <v>49158</v>
      </c>
      <c r="F25">
        <v>3</v>
      </c>
      <c r="G25">
        <v>8104</v>
      </c>
      <c r="H25">
        <f t="shared" si="0"/>
        <v>2025</v>
      </c>
      <c r="I25" t="str">
        <f t="shared" si="1"/>
        <v>January</v>
      </c>
      <c r="J25">
        <f t="shared" si="2"/>
        <v>0.16485617803816266</v>
      </c>
    </row>
    <row r="26" spans="1:10" x14ac:dyDescent="0.25">
      <c r="A26">
        <v>1025</v>
      </c>
      <c r="B26">
        <v>5</v>
      </c>
      <c r="C26">
        <v>108</v>
      </c>
      <c r="D26" s="3" t="s">
        <v>31</v>
      </c>
      <c r="E26">
        <v>43204</v>
      </c>
      <c r="F26">
        <v>2</v>
      </c>
      <c r="G26">
        <v>3099</v>
      </c>
      <c r="H26">
        <f t="shared" si="0"/>
        <v>2025</v>
      </c>
      <c r="I26" t="str">
        <f t="shared" si="1"/>
        <v>March</v>
      </c>
      <c r="J26">
        <f t="shared" si="2"/>
        <v>7.1729469493565415E-2</v>
      </c>
    </row>
    <row r="27" spans="1:10" x14ac:dyDescent="0.25">
      <c r="A27">
        <v>1026</v>
      </c>
      <c r="B27">
        <v>9</v>
      </c>
      <c r="C27">
        <v>110</v>
      </c>
      <c r="D27" s="3" t="s">
        <v>32</v>
      </c>
      <c r="E27">
        <v>21073</v>
      </c>
      <c r="F27">
        <v>7</v>
      </c>
      <c r="G27">
        <v>1132</v>
      </c>
      <c r="H27">
        <f t="shared" si="0"/>
        <v>2025</v>
      </c>
      <c r="I27" t="str">
        <f t="shared" si="1"/>
        <v>May</v>
      </c>
      <c r="J27">
        <f t="shared" si="2"/>
        <v>5.3718027808095668E-2</v>
      </c>
    </row>
    <row r="28" spans="1:10" x14ac:dyDescent="0.25">
      <c r="A28">
        <v>1027</v>
      </c>
      <c r="B28">
        <v>6</v>
      </c>
      <c r="C28">
        <v>110</v>
      </c>
      <c r="D28" s="3" t="s">
        <v>33</v>
      </c>
      <c r="E28">
        <v>22256</v>
      </c>
      <c r="F28">
        <v>2</v>
      </c>
      <c r="G28">
        <v>2280</v>
      </c>
      <c r="H28">
        <f t="shared" si="0"/>
        <v>2025</v>
      </c>
      <c r="I28" t="str">
        <f t="shared" si="1"/>
        <v>June</v>
      </c>
      <c r="J28">
        <f t="shared" si="2"/>
        <v>0.10244428468727534</v>
      </c>
    </row>
    <row r="29" spans="1:10" x14ac:dyDescent="0.25">
      <c r="A29">
        <v>1028</v>
      </c>
      <c r="B29">
        <v>15</v>
      </c>
      <c r="C29">
        <v>102</v>
      </c>
      <c r="D29" s="3" t="s">
        <v>34</v>
      </c>
      <c r="E29">
        <v>32779</v>
      </c>
      <c r="F29">
        <v>3</v>
      </c>
      <c r="G29">
        <v>3321</v>
      </c>
      <c r="H29">
        <f t="shared" si="0"/>
        <v>2025</v>
      </c>
      <c r="I29" t="str">
        <f t="shared" si="1"/>
        <v>March</v>
      </c>
      <c r="J29">
        <f t="shared" si="2"/>
        <v>0.10131486622532719</v>
      </c>
    </row>
    <row r="30" spans="1:10" x14ac:dyDescent="0.25">
      <c r="A30">
        <v>1029</v>
      </c>
      <c r="B30">
        <v>17</v>
      </c>
      <c r="C30">
        <v>101</v>
      </c>
      <c r="D30" s="3" t="s">
        <v>35</v>
      </c>
      <c r="E30">
        <v>9330</v>
      </c>
      <c r="F30">
        <v>8</v>
      </c>
      <c r="G30">
        <v>1211</v>
      </c>
      <c r="H30">
        <f t="shared" si="0"/>
        <v>2025</v>
      </c>
      <c r="I30" t="str">
        <f t="shared" si="1"/>
        <v>February</v>
      </c>
      <c r="J30">
        <f t="shared" si="2"/>
        <v>0.12979635584137192</v>
      </c>
    </row>
    <row r="31" spans="1:10" x14ac:dyDescent="0.25">
      <c r="A31">
        <v>1030</v>
      </c>
      <c r="B31">
        <v>16</v>
      </c>
      <c r="C31">
        <v>105</v>
      </c>
      <c r="D31" s="3" t="s">
        <v>36</v>
      </c>
      <c r="E31">
        <v>27026</v>
      </c>
      <c r="F31">
        <v>10</v>
      </c>
      <c r="G31">
        <v>4100</v>
      </c>
      <c r="H31">
        <f t="shared" si="0"/>
        <v>2025</v>
      </c>
      <c r="I31" t="str">
        <f t="shared" si="1"/>
        <v>April</v>
      </c>
      <c r="J31">
        <f t="shared" si="2"/>
        <v>0.15170576481906312</v>
      </c>
    </row>
    <row r="32" spans="1:10" x14ac:dyDescent="0.25">
      <c r="A32">
        <v>1031</v>
      </c>
      <c r="B32">
        <v>11</v>
      </c>
      <c r="C32">
        <v>109</v>
      </c>
      <c r="D32" s="3" t="s">
        <v>37</v>
      </c>
      <c r="E32">
        <v>30298</v>
      </c>
      <c r="F32">
        <v>7</v>
      </c>
      <c r="G32">
        <v>3340</v>
      </c>
      <c r="H32">
        <f t="shared" si="0"/>
        <v>2025</v>
      </c>
      <c r="I32" t="str">
        <f t="shared" si="1"/>
        <v>May</v>
      </c>
      <c r="J32">
        <f t="shared" si="2"/>
        <v>0.11023829955772659</v>
      </c>
    </row>
    <row r="33" spans="1:10" x14ac:dyDescent="0.25">
      <c r="A33">
        <v>1032</v>
      </c>
      <c r="B33">
        <v>1</v>
      </c>
      <c r="C33">
        <v>110</v>
      </c>
      <c r="D33" s="3" t="s">
        <v>38</v>
      </c>
      <c r="E33">
        <v>36234</v>
      </c>
      <c r="F33">
        <v>1</v>
      </c>
      <c r="G33">
        <v>4333</v>
      </c>
      <c r="H33">
        <f t="shared" si="0"/>
        <v>2025</v>
      </c>
      <c r="I33" t="str">
        <f t="shared" si="1"/>
        <v>April</v>
      </c>
      <c r="J33">
        <f t="shared" si="2"/>
        <v>0.11958381630512778</v>
      </c>
    </row>
    <row r="34" spans="1:10" x14ac:dyDescent="0.25">
      <c r="A34">
        <v>1033</v>
      </c>
      <c r="B34">
        <v>16</v>
      </c>
      <c r="C34">
        <v>109</v>
      </c>
      <c r="D34" s="3" t="s">
        <v>39</v>
      </c>
      <c r="E34">
        <v>2729</v>
      </c>
      <c r="F34">
        <v>2</v>
      </c>
      <c r="G34">
        <v>315</v>
      </c>
      <c r="H34">
        <f t="shared" si="0"/>
        <v>2025</v>
      </c>
      <c r="I34" t="str">
        <f t="shared" si="1"/>
        <v>February</v>
      </c>
      <c r="J34">
        <f t="shared" si="2"/>
        <v>0.11542689629901062</v>
      </c>
    </row>
    <row r="35" spans="1:10" x14ac:dyDescent="0.25">
      <c r="A35">
        <v>1034</v>
      </c>
      <c r="B35">
        <v>2</v>
      </c>
      <c r="C35">
        <v>107</v>
      </c>
      <c r="D35" s="3" t="s">
        <v>40</v>
      </c>
      <c r="E35">
        <v>19731</v>
      </c>
      <c r="F35">
        <v>2</v>
      </c>
      <c r="G35">
        <v>3521</v>
      </c>
      <c r="H35">
        <f t="shared" si="0"/>
        <v>2025</v>
      </c>
      <c r="I35" t="str">
        <f t="shared" si="1"/>
        <v>March</v>
      </c>
      <c r="J35">
        <f t="shared" si="2"/>
        <v>0.17845015457908875</v>
      </c>
    </row>
    <row r="36" spans="1:10" x14ac:dyDescent="0.25">
      <c r="A36">
        <v>1035</v>
      </c>
      <c r="B36">
        <v>20</v>
      </c>
      <c r="C36">
        <v>102</v>
      </c>
      <c r="D36" s="3" t="s">
        <v>24</v>
      </c>
      <c r="E36">
        <v>23104</v>
      </c>
      <c r="F36">
        <v>6</v>
      </c>
      <c r="G36">
        <v>4470</v>
      </c>
      <c r="H36">
        <f t="shared" si="0"/>
        <v>2025</v>
      </c>
      <c r="I36" t="str">
        <f t="shared" si="1"/>
        <v>April</v>
      </c>
      <c r="J36">
        <f t="shared" si="2"/>
        <v>0.19347299168975068</v>
      </c>
    </row>
    <row r="37" spans="1:10" x14ac:dyDescent="0.25">
      <c r="A37">
        <v>1036</v>
      </c>
      <c r="B37">
        <v>6</v>
      </c>
      <c r="C37">
        <v>104</v>
      </c>
      <c r="D37" s="3" t="s">
        <v>41</v>
      </c>
      <c r="E37">
        <v>28928</v>
      </c>
      <c r="F37">
        <v>4</v>
      </c>
      <c r="G37">
        <v>5612</v>
      </c>
      <c r="H37">
        <f t="shared" si="0"/>
        <v>2025</v>
      </c>
      <c r="I37" t="str">
        <f t="shared" si="1"/>
        <v>May</v>
      </c>
      <c r="J37">
        <f t="shared" si="2"/>
        <v>0.19399889380530974</v>
      </c>
    </row>
    <row r="38" spans="1:10" x14ac:dyDescent="0.25">
      <c r="A38">
        <v>1037</v>
      </c>
      <c r="B38">
        <v>1</v>
      </c>
      <c r="C38">
        <v>103</v>
      </c>
      <c r="D38" s="3" t="s">
        <v>42</v>
      </c>
      <c r="E38">
        <v>39273</v>
      </c>
      <c r="F38">
        <v>5</v>
      </c>
      <c r="G38">
        <v>5587</v>
      </c>
      <c r="H38">
        <f t="shared" si="0"/>
        <v>2025</v>
      </c>
      <c r="I38" t="str">
        <f t="shared" si="1"/>
        <v>June</v>
      </c>
      <c r="J38">
        <f t="shared" si="2"/>
        <v>0.14226058615333689</v>
      </c>
    </row>
    <row r="39" spans="1:10" x14ac:dyDescent="0.25">
      <c r="A39">
        <v>1038</v>
      </c>
      <c r="B39">
        <v>13</v>
      </c>
      <c r="C39">
        <v>107</v>
      </c>
      <c r="D39" s="3" t="s">
        <v>43</v>
      </c>
      <c r="E39">
        <v>21044</v>
      </c>
      <c r="F39">
        <v>5</v>
      </c>
      <c r="G39">
        <v>2712</v>
      </c>
      <c r="H39">
        <f t="shared" si="0"/>
        <v>2025</v>
      </c>
      <c r="I39" t="str">
        <f t="shared" si="1"/>
        <v>April</v>
      </c>
      <c r="J39">
        <f t="shared" si="2"/>
        <v>0.12887283786352405</v>
      </c>
    </row>
    <row r="40" spans="1:10" x14ac:dyDescent="0.25">
      <c r="A40">
        <v>1039</v>
      </c>
      <c r="B40">
        <v>6</v>
      </c>
      <c r="C40">
        <v>103</v>
      </c>
      <c r="D40" s="3" t="s">
        <v>27</v>
      </c>
      <c r="E40">
        <v>48589</v>
      </c>
      <c r="F40">
        <v>3</v>
      </c>
      <c r="G40">
        <v>5967</v>
      </c>
      <c r="H40">
        <f t="shared" si="0"/>
        <v>2025</v>
      </c>
      <c r="I40" t="str">
        <f t="shared" si="1"/>
        <v>May</v>
      </c>
      <c r="J40">
        <f t="shared" si="2"/>
        <v>0.12280557327790241</v>
      </c>
    </row>
    <row r="41" spans="1:10" x14ac:dyDescent="0.25">
      <c r="A41">
        <v>1040</v>
      </c>
      <c r="B41">
        <v>14</v>
      </c>
      <c r="C41">
        <v>103</v>
      </c>
      <c r="D41" s="3" t="s">
        <v>44</v>
      </c>
      <c r="E41">
        <v>32063</v>
      </c>
      <c r="F41">
        <v>5</v>
      </c>
      <c r="G41">
        <v>5334</v>
      </c>
      <c r="H41">
        <f t="shared" si="0"/>
        <v>2025</v>
      </c>
      <c r="I41" t="str">
        <f t="shared" si="1"/>
        <v>January</v>
      </c>
      <c r="J41">
        <f t="shared" si="2"/>
        <v>0.16635997879175374</v>
      </c>
    </row>
    <row r="42" spans="1:10" x14ac:dyDescent="0.25">
      <c r="A42">
        <v>1041</v>
      </c>
      <c r="B42">
        <v>8</v>
      </c>
      <c r="C42">
        <v>106</v>
      </c>
      <c r="D42" s="3" t="s">
        <v>45</v>
      </c>
      <c r="E42">
        <v>44675</v>
      </c>
      <c r="F42">
        <v>1</v>
      </c>
      <c r="G42">
        <v>3364</v>
      </c>
      <c r="H42">
        <f t="shared" si="0"/>
        <v>2025</v>
      </c>
      <c r="I42" t="str">
        <f t="shared" si="1"/>
        <v>January</v>
      </c>
      <c r="J42">
        <f t="shared" si="2"/>
        <v>7.529938444320089E-2</v>
      </c>
    </row>
    <row r="43" spans="1:10" x14ac:dyDescent="0.25">
      <c r="A43">
        <v>1042</v>
      </c>
      <c r="B43">
        <v>7</v>
      </c>
      <c r="C43">
        <v>106</v>
      </c>
      <c r="D43" s="3" t="s">
        <v>46</v>
      </c>
      <c r="E43">
        <v>23019</v>
      </c>
      <c r="F43">
        <v>1</v>
      </c>
      <c r="G43">
        <v>2882</v>
      </c>
      <c r="H43">
        <f t="shared" si="0"/>
        <v>2025</v>
      </c>
      <c r="I43" t="str">
        <f t="shared" si="1"/>
        <v>March</v>
      </c>
      <c r="J43">
        <f t="shared" si="2"/>
        <v>0.12520092097832225</v>
      </c>
    </row>
    <row r="44" spans="1:10" x14ac:dyDescent="0.25">
      <c r="A44">
        <v>1043</v>
      </c>
      <c r="B44">
        <v>20</v>
      </c>
      <c r="C44">
        <v>110</v>
      </c>
      <c r="D44" s="3" t="s">
        <v>47</v>
      </c>
      <c r="E44">
        <v>10835</v>
      </c>
      <c r="F44">
        <v>6</v>
      </c>
      <c r="G44">
        <v>1289</v>
      </c>
      <c r="H44">
        <f t="shared" si="0"/>
        <v>2025</v>
      </c>
      <c r="I44" t="str">
        <f t="shared" si="1"/>
        <v>February</v>
      </c>
      <c r="J44">
        <f t="shared" si="2"/>
        <v>0.11896631287494232</v>
      </c>
    </row>
    <row r="45" spans="1:10" x14ac:dyDescent="0.25">
      <c r="A45">
        <v>1044</v>
      </c>
      <c r="B45">
        <v>17</v>
      </c>
      <c r="C45">
        <v>107</v>
      </c>
      <c r="D45" s="3" t="s">
        <v>48</v>
      </c>
      <c r="E45">
        <v>4380</v>
      </c>
      <c r="F45">
        <v>7</v>
      </c>
      <c r="G45">
        <v>280</v>
      </c>
      <c r="H45">
        <f t="shared" si="0"/>
        <v>2025</v>
      </c>
      <c r="I45" t="str">
        <f t="shared" si="1"/>
        <v>June</v>
      </c>
      <c r="J45">
        <f t="shared" si="2"/>
        <v>6.3926940639269403E-2</v>
      </c>
    </row>
    <row r="46" spans="1:10" x14ac:dyDescent="0.25">
      <c r="A46">
        <v>1045</v>
      </c>
      <c r="B46">
        <v>2</v>
      </c>
      <c r="C46">
        <v>101</v>
      </c>
      <c r="D46" s="3" t="s">
        <v>15</v>
      </c>
      <c r="E46">
        <v>47212</v>
      </c>
      <c r="F46">
        <v>8</v>
      </c>
      <c r="G46">
        <v>4416</v>
      </c>
      <c r="H46">
        <f t="shared" si="0"/>
        <v>2025</v>
      </c>
      <c r="I46" t="str">
        <f t="shared" si="1"/>
        <v>April</v>
      </c>
      <c r="J46">
        <f t="shared" si="2"/>
        <v>9.3535541811403874E-2</v>
      </c>
    </row>
    <row r="47" spans="1:10" x14ac:dyDescent="0.25">
      <c r="A47">
        <v>1046</v>
      </c>
      <c r="B47">
        <v>19</v>
      </c>
      <c r="C47">
        <v>103</v>
      </c>
      <c r="D47" s="3" t="s">
        <v>49</v>
      </c>
      <c r="E47">
        <v>30660</v>
      </c>
      <c r="F47">
        <v>10</v>
      </c>
      <c r="G47">
        <v>2508</v>
      </c>
      <c r="H47">
        <f t="shared" si="0"/>
        <v>2025</v>
      </c>
      <c r="I47" t="str">
        <f t="shared" si="1"/>
        <v>February</v>
      </c>
      <c r="J47">
        <f t="shared" si="2"/>
        <v>8.1800391389432486E-2</v>
      </c>
    </row>
    <row r="48" spans="1:10" x14ac:dyDescent="0.25">
      <c r="A48">
        <v>1047</v>
      </c>
      <c r="B48">
        <v>13</v>
      </c>
      <c r="C48">
        <v>105</v>
      </c>
      <c r="D48" s="3" t="s">
        <v>50</v>
      </c>
      <c r="E48">
        <v>46162</v>
      </c>
      <c r="F48">
        <v>2</v>
      </c>
      <c r="G48">
        <v>8639</v>
      </c>
      <c r="H48">
        <f t="shared" si="0"/>
        <v>2025</v>
      </c>
      <c r="I48" t="str">
        <f t="shared" si="1"/>
        <v>June</v>
      </c>
      <c r="J48">
        <f t="shared" si="2"/>
        <v>0.18714527100212297</v>
      </c>
    </row>
    <row r="49" spans="1:10" x14ac:dyDescent="0.25">
      <c r="A49">
        <v>1048</v>
      </c>
      <c r="B49">
        <v>20</v>
      </c>
      <c r="C49">
        <v>107</v>
      </c>
      <c r="D49" s="3" t="s">
        <v>45</v>
      </c>
      <c r="E49">
        <v>29692</v>
      </c>
      <c r="F49">
        <v>6</v>
      </c>
      <c r="G49">
        <v>2654</v>
      </c>
      <c r="H49">
        <f t="shared" si="0"/>
        <v>2025</v>
      </c>
      <c r="I49" t="str">
        <f t="shared" si="1"/>
        <v>January</v>
      </c>
      <c r="J49">
        <f t="shared" si="2"/>
        <v>8.9384345951771527E-2</v>
      </c>
    </row>
    <row r="50" spans="1:10" x14ac:dyDescent="0.25">
      <c r="A50">
        <v>1049</v>
      </c>
      <c r="B50">
        <v>10</v>
      </c>
      <c r="C50">
        <v>104</v>
      </c>
      <c r="D50" s="3" t="s">
        <v>51</v>
      </c>
      <c r="E50">
        <v>12108</v>
      </c>
      <c r="F50">
        <v>4</v>
      </c>
      <c r="G50">
        <v>1080</v>
      </c>
      <c r="H50">
        <f t="shared" si="0"/>
        <v>2025</v>
      </c>
      <c r="I50" t="str">
        <f t="shared" si="1"/>
        <v>June</v>
      </c>
      <c r="J50">
        <f t="shared" si="2"/>
        <v>8.9197224975222991E-2</v>
      </c>
    </row>
    <row r="51" spans="1:10" x14ac:dyDescent="0.25">
      <c r="A51">
        <v>1050</v>
      </c>
      <c r="B51">
        <v>9</v>
      </c>
      <c r="C51">
        <v>109</v>
      </c>
      <c r="D51" s="3" t="s">
        <v>52</v>
      </c>
      <c r="E51">
        <v>1733</v>
      </c>
      <c r="F51">
        <v>2</v>
      </c>
      <c r="G51">
        <v>153</v>
      </c>
      <c r="H51">
        <f t="shared" si="0"/>
        <v>2025</v>
      </c>
      <c r="I51" t="str">
        <f t="shared" si="1"/>
        <v>March</v>
      </c>
      <c r="J51">
        <f t="shared" si="2"/>
        <v>8.8286208886324297E-2</v>
      </c>
    </row>
    <row r="52" spans="1:10" x14ac:dyDescent="0.25">
      <c r="A52">
        <v>1051</v>
      </c>
      <c r="B52">
        <v>14</v>
      </c>
      <c r="C52">
        <v>101</v>
      </c>
      <c r="D52" s="3" t="s">
        <v>53</v>
      </c>
      <c r="E52">
        <v>22586</v>
      </c>
      <c r="F52">
        <v>9</v>
      </c>
      <c r="G52">
        <v>1603</v>
      </c>
      <c r="H52">
        <f t="shared" si="0"/>
        <v>2025</v>
      </c>
      <c r="I52" t="str">
        <f t="shared" si="1"/>
        <v>May</v>
      </c>
      <c r="J52">
        <f t="shared" si="2"/>
        <v>7.0973169219870721E-2</v>
      </c>
    </row>
    <row r="53" spans="1:10" x14ac:dyDescent="0.25">
      <c r="A53">
        <v>1052</v>
      </c>
      <c r="B53">
        <v>10</v>
      </c>
      <c r="C53">
        <v>108</v>
      </c>
      <c r="D53" s="3" t="s">
        <v>50</v>
      </c>
      <c r="E53">
        <v>34357</v>
      </c>
      <c r="F53">
        <v>1</v>
      </c>
      <c r="G53">
        <v>1746</v>
      </c>
      <c r="H53">
        <f t="shared" si="0"/>
        <v>2025</v>
      </c>
      <c r="I53" t="str">
        <f t="shared" si="1"/>
        <v>June</v>
      </c>
      <c r="J53">
        <f t="shared" si="2"/>
        <v>5.0819338126146057E-2</v>
      </c>
    </row>
    <row r="54" spans="1:10" x14ac:dyDescent="0.25">
      <c r="A54">
        <v>1053</v>
      </c>
      <c r="B54">
        <v>9</v>
      </c>
      <c r="C54">
        <v>105</v>
      </c>
      <c r="D54" s="3" t="s">
        <v>27</v>
      </c>
      <c r="E54">
        <v>44837</v>
      </c>
      <c r="F54">
        <v>2</v>
      </c>
      <c r="G54">
        <v>3356</v>
      </c>
      <c r="H54">
        <f t="shared" si="0"/>
        <v>2025</v>
      </c>
      <c r="I54" t="str">
        <f t="shared" si="1"/>
        <v>May</v>
      </c>
      <c r="J54">
        <f t="shared" si="2"/>
        <v>7.4848897116220975E-2</v>
      </c>
    </row>
    <row r="55" spans="1:10" x14ac:dyDescent="0.25">
      <c r="A55">
        <v>1054</v>
      </c>
      <c r="B55">
        <v>13</v>
      </c>
      <c r="C55">
        <v>101</v>
      </c>
      <c r="D55" s="3" t="s">
        <v>54</v>
      </c>
      <c r="E55">
        <v>40337</v>
      </c>
      <c r="F55">
        <v>4</v>
      </c>
      <c r="G55">
        <v>5704</v>
      </c>
      <c r="H55">
        <f t="shared" si="0"/>
        <v>2025</v>
      </c>
      <c r="I55" t="str">
        <f t="shared" si="1"/>
        <v>February</v>
      </c>
      <c r="J55">
        <f t="shared" si="2"/>
        <v>0.14140863227309913</v>
      </c>
    </row>
    <row r="56" spans="1:10" x14ac:dyDescent="0.25">
      <c r="A56">
        <v>1055</v>
      </c>
      <c r="B56">
        <v>15</v>
      </c>
      <c r="C56">
        <v>109</v>
      </c>
      <c r="D56" s="3" t="s">
        <v>55</v>
      </c>
      <c r="E56">
        <v>44108</v>
      </c>
      <c r="F56">
        <v>9</v>
      </c>
      <c r="G56">
        <v>8074</v>
      </c>
      <c r="H56">
        <f t="shared" si="0"/>
        <v>2025</v>
      </c>
      <c r="I56" t="str">
        <f t="shared" si="1"/>
        <v>January</v>
      </c>
      <c r="J56">
        <f t="shared" si="2"/>
        <v>0.18305069375170038</v>
      </c>
    </row>
    <row r="57" spans="1:10" x14ac:dyDescent="0.25">
      <c r="A57">
        <v>1056</v>
      </c>
      <c r="B57">
        <v>12</v>
      </c>
      <c r="C57">
        <v>107</v>
      </c>
      <c r="D57" s="3" t="s">
        <v>36</v>
      </c>
      <c r="E57">
        <v>20817</v>
      </c>
      <c r="F57">
        <v>8</v>
      </c>
      <c r="G57">
        <v>3069</v>
      </c>
      <c r="H57">
        <f t="shared" si="0"/>
        <v>2025</v>
      </c>
      <c r="I57" t="str">
        <f t="shared" si="1"/>
        <v>April</v>
      </c>
      <c r="J57">
        <f t="shared" si="2"/>
        <v>0.1474275832252486</v>
      </c>
    </row>
    <row r="58" spans="1:10" x14ac:dyDescent="0.25">
      <c r="A58">
        <v>1057</v>
      </c>
      <c r="B58">
        <v>5</v>
      </c>
      <c r="C58">
        <v>106</v>
      </c>
      <c r="D58" s="3" t="s">
        <v>46</v>
      </c>
      <c r="E58">
        <v>15198</v>
      </c>
      <c r="F58">
        <v>3</v>
      </c>
      <c r="G58">
        <v>1082</v>
      </c>
      <c r="H58">
        <f t="shared" si="0"/>
        <v>2025</v>
      </c>
      <c r="I58" t="str">
        <f t="shared" si="1"/>
        <v>March</v>
      </c>
      <c r="J58">
        <f t="shared" si="2"/>
        <v>7.1193578102381888E-2</v>
      </c>
    </row>
    <row r="59" spans="1:10" x14ac:dyDescent="0.25">
      <c r="A59">
        <v>1058</v>
      </c>
      <c r="B59">
        <v>3</v>
      </c>
      <c r="C59">
        <v>110</v>
      </c>
      <c r="D59" s="3" t="s">
        <v>56</v>
      </c>
      <c r="E59">
        <v>2669</v>
      </c>
      <c r="F59">
        <v>1</v>
      </c>
      <c r="G59">
        <v>227</v>
      </c>
      <c r="H59">
        <f t="shared" si="0"/>
        <v>2025</v>
      </c>
      <c r="I59" t="str">
        <f t="shared" si="1"/>
        <v>March</v>
      </c>
      <c r="J59">
        <f t="shared" si="2"/>
        <v>8.5050580741850887E-2</v>
      </c>
    </row>
    <row r="60" spans="1:10" x14ac:dyDescent="0.25">
      <c r="A60">
        <v>1059</v>
      </c>
      <c r="B60">
        <v>18</v>
      </c>
      <c r="C60">
        <v>103</v>
      </c>
      <c r="D60" s="3" t="s">
        <v>57</v>
      </c>
      <c r="E60">
        <v>46478</v>
      </c>
      <c r="F60">
        <v>3</v>
      </c>
      <c r="G60">
        <v>4327</v>
      </c>
      <c r="H60">
        <f t="shared" si="0"/>
        <v>2025</v>
      </c>
      <c r="I60" t="str">
        <f t="shared" si="1"/>
        <v>January</v>
      </c>
      <c r="J60">
        <f t="shared" si="2"/>
        <v>9.3097809716424978E-2</v>
      </c>
    </row>
    <row r="61" spans="1:10" x14ac:dyDescent="0.25">
      <c r="A61">
        <v>1060</v>
      </c>
      <c r="B61">
        <v>5</v>
      </c>
      <c r="C61">
        <v>109</v>
      </c>
      <c r="D61" s="3" t="s">
        <v>41</v>
      </c>
      <c r="E61">
        <v>2637</v>
      </c>
      <c r="F61">
        <v>5</v>
      </c>
      <c r="G61">
        <v>452</v>
      </c>
      <c r="H61">
        <f t="shared" si="0"/>
        <v>2025</v>
      </c>
      <c r="I61" t="str">
        <f t="shared" si="1"/>
        <v>May</v>
      </c>
      <c r="J61">
        <f t="shared" si="2"/>
        <v>0.1714069017823284</v>
      </c>
    </row>
    <row r="62" spans="1:10" x14ac:dyDescent="0.25">
      <c r="A62">
        <v>1061</v>
      </c>
      <c r="B62">
        <v>3</v>
      </c>
      <c r="C62">
        <v>104</v>
      </c>
      <c r="D62" s="3" t="s">
        <v>58</v>
      </c>
      <c r="E62">
        <v>43410</v>
      </c>
      <c r="F62">
        <v>4</v>
      </c>
      <c r="G62">
        <v>5482</v>
      </c>
      <c r="H62">
        <f t="shared" si="0"/>
        <v>2025</v>
      </c>
      <c r="I62" t="str">
        <f t="shared" si="1"/>
        <v>April</v>
      </c>
      <c r="J62">
        <f t="shared" si="2"/>
        <v>0.126284266298088</v>
      </c>
    </row>
    <row r="63" spans="1:10" x14ac:dyDescent="0.25">
      <c r="A63">
        <v>1062</v>
      </c>
      <c r="B63">
        <v>11</v>
      </c>
      <c r="C63">
        <v>105</v>
      </c>
      <c r="D63" s="3" t="s">
        <v>59</v>
      </c>
      <c r="E63">
        <v>10549</v>
      </c>
      <c r="F63">
        <v>9</v>
      </c>
      <c r="G63">
        <v>2100</v>
      </c>
      <c r="H63">
        <f t="shared" si="0"/>
        <v>2025</v>
      </c>
      <c r="I63" t="str">
        <f t="shared" si="1"/>
        <v>January</v>
      </c>
      <c r="J63">
        <f t="shared" si="2"/>
        <v>0.19907100199071001</v>
      </c>
    </row>
    <row r="64" spans="1:10" x14ac:dyDescent="0.25">
      <c r="A64">
        <v>1063</v>
      </c>
      <c r="B64">
        <v>17</v>
      </c>
      <c r="C64">
        <v>106</v>
      </c>
      <c r="D64" s="3" t="s">
        <v>60</v>
      </c>
      <c r="E64">
        <v>1444</v>
      </c>
      <c r="F64">
        <v>8</v>
      </c>
      <c r="G64">
        <v>122</v>
      </c>
      <c r="H64">
        <f t="shared" si="0"/>
        <v>2025</v>
      </c>
      <c r="I64" t="str">
        <f t="shared" si="1"/>
        <v>February</v>
      </c>
      <c r="J64">
        <f t="shared" si="2"/>
        <v>8.4487534626038779E-2</v>
      </c>
    </row>
    <row r="65" spans="1:10" x14ac:dyDescent="0.25">
      <c r="A65">
        <v>1064</v>
      </c>
      <c r="B65">
        <v>4</v>
      </c>
      <c r="C65">
        <v>104</v>
      </c>
      <c r="D65" s="3" t="s">
        <v>61</v>
      </c>
      <c r="E65">
        <v>30696</v>
      </c>
      <c r="F65">
        <v>6</v>
      </c>
      <c r="G65">
        <v>3856</v>
      </c>
      <c r="H65">
        <f t="shared" si="0"/>
        <v>2025</v>
      </c>
      <c r="I65" t="str">
        <f t="shared" si="1"/>
        <v>March</v>
      </c>
      <c r="J65">
        <f t="shared" si="2"/>
        <v>0.12561897315611154</v>
      </c>
    </row>
    <row r="66" spans="1:10" x14ac:dyDescent="0.25">
      <c r="A66">
        <v>1065</v>
      </c>
      <c r="B66">
        <v>7</v>
      </c>
      <c r="C66">
        <v>105</v>
      </c>
      <c r="D66" s="3" t="s">
        <v>30</v>
      </c>
      <c r="E66">
        <v>2211</v>
      </c>
      <c r="F66">
        <v>6</v>
      </c>
      <c r="G66">
        <v>373</v>
      </c>
      <c r="H66">
        <f t="shared" si="0"/>
        <v>2025</v>
      </c>
      <c r="I66" t="str">
        <f t="shared" si="1"/>
        <v>January</v>
      </c>
      <c r="J66">
        <f t="shared" si="2"/>
        <v>0.16870194482134782</v>
      </c>
    </row>
    <row r="67" spans="1:10" x14ac:dyDescent="0.25">
      <c r="A67">
        <v>1066</v>
      </c>
      <c r="B67">
        <v>15</v>
      </c>
      <c r="C67">
        <v>105</v>
      </c>
      <c r="D67" s="3" t="s">
        <v>62</v>
      </c>
      <c r="E67">
        <v>23048</v>
      </c>
      <c r="F67">
        <v>6</v>
      </c>
      <c r="G67">
        <v>2521</v>
      </c>
      <c r="H67">
        <f t="shared" ref="H67:H130" si="3">YEAR(D67)</f>
        <v>2025</v>
      </c>
      <c r="I67" t="str">
        <f t="shared" ref="I67:I130" si="4">TEXT(D67,"mmmm")</f>
        <v>March</v>
      </c>
      <c r="J67">
        <f t="shared" ref="J67:J130" si="5">G67/E67</f>
        <v>0.10938042346407498</v>
      </c>
    </row>
    <row r="68" spans="1:10" x14ac:dyDescent="0.25">
      <c r="A68">
        <v>1067</v>
      </c>
      <c r="B68">
        <v>18</v>
      </c>
      <c r="C68">
        <v>103</v>
      </c>
      <c r="D68" s="3" t="s">
        <v>63</v>
      </c>
      <c r="E68">
        <v>43932</v>
      </c>
      <c r="F68">
        <v>7</v>
      </c>
      <c r="G68">
        <v>3640</v>
      </c>
      <c r="H68">
        <f t="shared" si="3"/>
        <v>2025</v>
      </c>
      <c r="I68" t="str">
        <f t="shared" si="4"/>
        <v>March</v>
      </c>
      <c r="J68">
        <f t="shared" si="5"/>
        <v>8.2855321861057998E-2</v>
      </c>
    </row>
    <row r="69" spans="1:10" x14ac:dyDescent="0.25">
      <c r="A69">
        <v>1068</v>
      </c>
      <c r="B69">
        <v>16</v>
      </c>
      <c r="C69">
        <v>110</v>
      </c>
      <c r="D69" s="3" t="s">
        <v>25</v>
      </c>
      <c r="E69">
        <v>13661</v>
      </c>
      <c r="F69">
        <v>9</v>
      </c>
      <c r="G69">
        <v>1168</v>
      </c>
      <c r="H69">
        <f t="shared" si="3"/>
        <v>2025</v>
      </c>
      <c r="I69" t="str">
        <f t="shared" si="4"/>
        <v>June</v>
      </c>
      <c r="J69">
        <f t="shared" si="5"/>
        <v>8.5498865383207667E-2</v>
      </c>
    </row>
    <row r="70" spans="1:10" x14ac:dyDescent="0.25">
      <c r="A70">
        <v>1069</v>
      </c>
      <c r="B70">
        <v>4</v>
      </c>
      <c r="C70">
        <v>103</v>
      </c>
      <c r="D70" s="3" t="s">
        <v>64</v>
      </c>
      <c r="E70">
        <v>8381</v>
      </c>
      <c r="F70">
        <v>9</v>
      </c>
      <c r="G70">
        <v>981</v>
      </c>
      <c r="H70">
        <f t="shared" si="3"/>
        <v>2025</v>
      </c>
      <c r="I70" t="str">
        <f t="shared" si="4"/>
        <v>April</v>
      </c>
      <c r="J70">
        <f t="shared" si="5"/>
        <v>0.11705047130414031</v>
      </c>
    </row>
    <row r="71" spans="1:10" x14ac:dyDescent="0.25">
      <c r="A71">
        <v>1070</v>
      </c>
      <c r="B71">
        <v>6</v>
      </c>
      <c r="C71">
        <v>107</v>
      </c>
      <c r="D71" s="3" t="s">
        <v>65</v>
      </c>
      <c r="E71">
        <v>24835</v>
      </c>
      <c r="F71">
        <v>4</v>
      </c>
      <c r="G71">
        <v>1710</v>
      </c>
      <c r="H71">
        <f t="shared" si="3"/>
        <v>2025</v>
      </c>
      <c r="I71" t="str">
        <f t="shared" si="4"/>
        <v>May</v>
      </c>
      <c r="J71">
        <f t="shared" si="5"/>
        <v>6.8854439299375875E-2</v>
      </c>
    </row>
    <row r="72" spans="1:10" x14ac:dyDescent="0.25">
      <c r="A72">
        <v>1071</v>
      </c>
      <c r="B72">
        <v>14</v>
      </c>
      <c r="C72">
        <v>101</v>
      </c>
      <c r="D72" s="3" t="s">
        <v>66</v>
      </c>
      <c r="E72">
        <v>9124</v>
      </c>
      <c r="F72">
        <v>3</v>
      </c>
      <c r="G72">
        <v>1725</v>
      </c>
      <c r="H72">
        <f t="shared" si="3"/>
        <v>2025</v>
      </c>
      <c r="I72" t="str">
        <f t="shared" si="4"/>
        <v>January</v>
      </c>
      <c r="J72">
        <f t="shared" si="5"/>
        <v>0.18906181499342395</v>
      </c>
    </row>
    <row r="73" spans="1:10" x14ac:dyDescent="0.25">
      <c r="A73">
        <v>1072</v>
      </c>
      <c r="B73">
        <v>20</v>
      </c>
      <c r="C73">
        <v>110</v>
      </c>
      <c r="D73" s="3" t="s">
        <v>61</v>
      </c>
      <c r="E73">
        <v>18658</v>
      </c>
      <c r="F73">
        <v>6</v>
      </c>
      <c r="G73">
        <v>1165</v>
      </c>
      <c r="H73">
        <f t="shared" si="3"/>
        <v>2025</v>
      </c>
      <c r="I73" t="str">
        <f t="shared" si="4"/>
        <v>March</v>
      </c>
      <c r="J73">
        <f t="shared" si="5"/>
        <v>6.2439704148354591E-2</v>
      </c>
    </row>
    <row r="74" spans="1:10" x14ac:dyDescent="0.25">
      <c r="A74">
        <v>1073</v>
      </c>
      <c r="B74">
        <v>10</v>
      </c>
      <c r="C74">
        <v>101</v>
      </c>
      <c r="D74" s="3" t="s">
        <v>67</v>
      </c>
      <c r="E74">
        <v>9966</v>
      </c>
      <c r="F74">
        <v>7</v>
      </c>
      <c r="G74">
        <v>937</v>
      </c>
      <c r="H74">
        <f t="shared" si="3"/>
        <v>2025</v>
      </c>
      <c r="I74" t="str">
        <f t="shared" si="4"/>
        <v>May</v>
      </c>
      <c r="J74">
        <f t="shared" si="5"/>
        <v>9.4019666867348986E-2</v>
      </c>
    </row>
    <row r="75" spans="1:10" x14ac:dyDescent="0.25">
      <c r="A75">
        <v>1074</v>
      </c>
      <c r="B75">
        <v>9</v>
      </c>
      <c r="C75">
        <v>109</v>
      </c>
      <c r="D75" s="3" t="s">
        <v>68</v>
      </c>
      <c r="E75">
        <v>31747</v>
      </c>
      <c r="F75">
        <v>10</v>
      </c>
      <c r="G75">
        <v>2749</v>
      </c>
      <c r="H75">
        <f t="shared" si="3"/>
        <v>2025</v>
      </c>
      <c r="I75" t="str">
        <f t="shared" si="4"/>
        <v>January</v>
      </c>
      <c r="J75">
        <f t="shared" si="5"/>
        <v>8.6590858978801144E-2</v>
      </c>
    </row>
    <row r="76" spans="1:10" x14ac:dyDescent="0.25">
      <c r="A76">
        <v>1075</v>
      </c>
      <c r="B76">
        <v>9</v>
      </c>
      <c r="C76">
        <v>101</v>
      </c>
      <c r="D76" s="3" t="s">
        <v>38</v>
      </c>
      <c r="E76">
        <v>8233</v>
      </c>
      <c r="F76">
        <v>6</v>
      </c>
      <c r="G76">
        <v>747</v>
      </c>
      <c r="H76">
        <f t="shared" si="3"/>
        <v>2025</v>
      </c>
      <c r="I76" t="str">
        <f t="shared" si="4"/>
        <v>April</v>
      </c>
      <c r="J76">
        <f t="shared" si="5"/>
        <v>9.0732418316531033E-2</v>
      </c>
    </row>
    <row r="77" spans="1:10" x14ac:dyDescent="0.25">
      <c r="A77">
        <v>1076</v>
      </c>
      <c r="B77">
        <v>17</v>
      </c>
      <c r="C77">
        <v>109</v>
      </c>
      <c r="D77" s="3" t="s">
        <v>69</v>
      </c>
      <c r="E77">
        <v>28441</v>
      </c>
      <c r="F77">
        <v>9</v>
      </c>
      <c r="G77">
        <v>4565</v>
      </c>
      <c r="H77">
        <f t="shared" si="3"/>
        <v>2025</v>
      </c>
      <c r="I77" t="str">
        <f t="shared" si="4"/>
        <v>June</v>
      </c>
      <c r="J77">
        <f t="shared" si="5"/>
        <v>0.16050771773144404</v>
      </c>
    </row>
    <row r="78" spans="1:10" x14ac:dyDescent="0.25">
      <c r="A78">
        <v>1077</v>
      </c>
      <c r="B78">
        <v>5</v>
      </c>
      <c r="C78">
        <v>105</v>
      </c>
      <c r="D78" s="3" t="s">
        <v>25</v>
      </c>
      <c r="E78">
        <v>44029</v>
      </c>
      <c r="F78">
        <v>6</v>
      </c>
      <c r="G78">
        <v>5133</v>
      </c>
      <c r="H78">
        <f t="shared" si="3"/>
        <v>2025</v>
      </c>
      <c r="I78" t="str">
        <f t="shared" si="4"/>
        <v>June</v>
      </c>
      <c r="J78">
        <f t="shared" si="5"/>
        <v>0.11658225260623679</v>
      </c>
    </row>
    <row r="79" spans="1:10" x14ac:dyDescent="0.25">
      <c r="A79">
        <v>1078</v>
      </c>
      <c r="B79">
        <v>19</v>
      </c>
      <c r="C79">
        <v>110</v>
      </c>
      <c r="D79" s="3" t="s">
        <v>70</v>
      </c>
      <c r="E79">
        <v>13046</v>
      </c>
      <c r="F79">
        <v>4</v>
      </c>
      <c r="G79">
        <v>2077</v>
      </c>
      <c r="H79">
        <f t="shared" si="3"/>
        <v>2025</v>
      </c>
      <c r="I79" t="str">
        <f t="shared" si="4"/>
        <v>January</v>
      </c>
      <c r="J79">
        <f t="shared" si="5"/>
        <v>0.15920588686187337</v>
      </c>
    </row>
    <row r="80" spans="1:10" x14ac:dyDescent="0.25">
      <c r="A80">
        <v>1079</v>
      </c>
      <c r="B80">
        <v>8</v>
      </c>
      <c r="C80">
        <v>106</v>
      </c>
      <c r="D80" s="3" t="s">
        <v>44</v>
      </c>
      <c r="E80">
        <v>5975</v>
      </c>
      <c r="F80">
        <v>1</v>
      </c>
      <c r="G80">
        <v>451</v>
      </c>
      <c r="H80">
        <f t="shared" si="3"/>
        <v>2025</v>
      </c>
      <c r="I80" t="str">
        <f t="shared" si="4"/>
        <v>January</v>
      </c>
      <c r="J80">
        <f t="shared" si="5"/>
        <v>7.5481171548117149E-2</v>
      </c>
    </row>
    <row r="81" spans="1:10" x14ac:dyDescent="0.25">
      <c r="A81">
        <v>1080</v>
      </c>
      <c r="B81">
        <v>18</v>
      </c>
      <c r="C81">
        <v>105</v>
      </c>
      <c r="D81" s="3" t="s">
        <v>71</v>
      </c>
      <c r="E81">
        <v>6930</v>
      </c>
      <c r="F81">
        <v>3</v>
      </c>
      <c r="G81">
        <v>1285</v>
      </c>
      <c r="H81">
        <f t="shared" si="3"/>
        <v>2025</v>
      </c>
      <c r="I81" t="str">
        <f t="shared" si="4"/>
        <v>February</v>
      </c>
      <c r="J81">
        <f t="shared" si="5"/>
        <v>0.18542568542568544</v>
      </c>
    </row>
    <row r="82" spans="1:10" x14ac:dyDescent="0.25">
      <c r="A82">
        <v>1081</v>
      </c>
      <c r="B82">
        <v>6</v>
      </c>
      <c r="C82">
        <v>107</v>
      </c>
      <c r="D82" s="3" t="s">
        <v>72</v>
      </c>
      <c r="E82">
        <v>44166</v>
      </c>
      <c r="F82">
        <v>10</v>
      </c>
      <c r="G82">
        <v>7954</v>
      </c>
      <c r="H82">
        <f t="shared" si="3"/>
        <v>2025</v>
      </c>
      <c r="I82" t="str">
        <f t="shared" si="4"/>
        <v>June</v>
      </c>
      <c r="J82">
        <f t="shared" si="5"/>
        <v>0.18009328442693476</v>
      </c>
    </row>
    <row r="83" spans="1:10" x14ac:dyDescent="0.25">
      <c r="A83">
        <v>1082</v>
      </c>
      <c r="B83">
        <v>17</v>
      </c>
      <c r="C83">
        <v>101</v>
      </c>
      <c r="D83" s="3" t="s">
        <v>73</v>
      </c>
      <c r="E83">
        <v>49459</v>
      </c>
      <c r="F83">
        <v>7</v>
      </c>
      <c r="G83">
        <v>4640</v>
      </c>
      <c r="H83">
        <f t="shared" si="3"/>
        <v>2025</v>
      </c>
      <c r="I83" t="str">
        <f t="shared" si="4"/>
        <v>March</v>
      </c>
      <c r="J83">
        <f t="shared" si="5"/>
        <v>9.3815079156473039E-2</v>
      </c>
    </row>
    <row r="84" spans="1:10" x14ac:dyDescent="0.25">
      <c r="A84">
        <v>1083</v>
      </c>
      <c r="B84">
        <v>17</v>
      </c>
      <c r="C84">
        <v>106</v>
      </c>
      <c r="D84" s="3" t="s">
        <v>24</v>
      </c>
      <c r="E84">
        <v>48983</v>
      </c>
      <c r="F84">
        <v>1</v>
      </c>
      <c r="G84">
        <v>4956</v>
      </c>
      <c r="H84">
        <f t="shared" si="3"/>
        <v>2025</v>
      </c>
      <c r="I84" t="str">
        <f t="shared" si="4"/>
        <v>April</v>
      </c>
      <c r="J84">
        <f t="shared" si="5"/>
        <v>0.10117795970030419</v>
      </c>
    </row>
    <row r="85" spans="1:10" x14ac:dyDescent="0.25">
      <c r="A85">
        <v>1084</v>
      </c>
      <c r="B85">
        <v>12</v>
      </c>
      <c r="C85">
        <v>106</v>
      </c>
      <c r="D85" s="3" t="s">
        <v>74</v>
      </c>
      <c r="E85">
        <v>34995</v>
      </c>
      <c r="F85">
        <v>1</v>
      </c>
      <c r="G85">
        <v>3899</v>
      </c>
      <c r="H85">
        <f t="shared" si="3"/>
        <v>2025</v>
      </c>
      <c r="I85" t="str">
        <f t="shared" si="4"/>
        <v>January</v>
      </c>
      <c r="J85">
        <f t="shared" si="5"/>
        <v>0.1114159165595085</v>
      </c>
    </row>
    <row r="86" spans="1:10" x14ac:dyDescent="0.25">
      <c r="A86">
        <v>1085</v>
      </c>
      <c r="B86">
        <v>1</v>
      </c>
      <c r="C86">
        <v>109</v>
      </c>
      <c r="D86" s="3" t="s">
        <v>75</v>
      </c>
      <c r="E86">
        <v>43779</v>
      </c>
      <c r="F86">
        <v>6</v>
      </c>
      <c r="G86">
        <v>6467</v>
      </c>
      <c r="H86">
        <f t="shared" si="3"/>
        <v>2025</v>
      </c>
      <c r="I86" t="str">
        <f t="shared" si="4"/>
        <v>January</v>
      </c>
      <c r="J86">
        <f t="shared" si="5"/>
        <v>0.14771922611297655</v>
      </c>
    </row>
    <row r="87" spans="1:10" x14ac:dyDescent="0.25">
      <c r="A87">
        <v>1086</v>
      </c>
      <c r="B87">
        <v>6</v>
      </c>
      <c r="C87">
        <v>106</v>
      </c>
      <c r="D87" s="3" t="s">
        <v>76</v>
      </c>
      <c r="E87">
        <v>21230</v>
      </c>
      <c r="F87">
        <v>4</v>
      </c>
      <c r="G87">
        <v>3179</v>
      </c>
      <c r="H87">
        <f t="shared" si="3"/>
        <v>2025</v>
      </c>
      <c r="I87" t="str">
        <f t="shared" si="4"/>
        <v>January</v>
      </c>
      <c r="J87">
        <f t="shared" si="5"/>
        <v>0.14974093264248706</v>
      </c>
    </row>
    <row r="88" spans="1:10" x14ac:dyDescent="0.25">
      <c r="A88">
        <v>1087</v>
      </c>
      <c r="B88">
        <v>15</v>
      </c>
      <c r="C88">
        <v>103</v>
      </c>
      <c r="D88" s="3" t="s">
        <v>77</v>
      </c>
      <c r="E88">
        <v>27590</v>
      </c>
      <c r="F88">
        <v>5</v>
      </c>
      <c r="G88">
        <v>1678</v>
      </c>
      <c r="H88">
        <f t="shared" si="3"/>
        <v>2025</v>
      </c>
      <c r="I88" t="str">
        <f t="shared" si="4"/>
        <v>February</v>
      </c>
      <c r="J88">
        <f t="shared" si="5"/>
        <v>6.0819137368611817E-2</v>
      </c>
    </row>
    <row r="89" spans="1:10" x14ac:dyDescent="0.25">
      <c r="A89">
        <v>1088</v>
      </c>
      <c r="B89">
        <v>2</v>
      </c>
      <c r="C89">
        <v>107</v>
      </c>
      <c r="D89" s="3" t="s">
        <v>78</v>
      </c>
      <c r="E89">
        <v>48649</v>
      </c>
      <c r="F89">
        <v>1</v>
      </c>
      <c r="G89">
        <v>2585</v>
      </c>
      <c r="H89">
        <f t="shared" si="3"/>
        <v>2025</v>
      </c>
      <c r="I89" t="str">
        <f t="shared" si="4"/>
        <v>April</v>
      </c>
      <c r="J89">
        <f t="shared" si="5"/>
        <v>5.3135727353080225E-2</v>
      </c>
    </row>
    <row r="90" spans="1:10" x14ac:dyDescent="0.25">
      <c r="A90">
        <v>1089</v>
      </c>
      <c r="B90">
        <v>8</v>
      </c>
      <c r="C90">
        <v>104</v>
      </c>
      <c r="D90" s="3" t="s">
        <v>79</v>
      </c>
      <c r="E90">
        <v>4258</v>
      </c>
      <c r="F90">
        <v>9</v>
      </c>
      <c r="G90">
        <v>473</v>
      </c>
      <c r="H90">
        <f t="shared" si="3"/>
        <v>2025</v>
      </c>
      <c r="I90" t="str">
        <f t="shared" si="4"/>
        <v>April</v>
      </c>
      <c r="J90">
        <f t="shared" si="5"/>
        <v>0.11108501643964303</v>
      </c>
    </row>
    <row r="91" spans="1:10" x14ac:dyDescent="0.25">
      <c r="A91">
        <v>1090</v>
      </c>
      <c r="B91">
        <v>6</v>
      </c>
      <c r="C91">
        <v>108</v>
      </c>
      <c r="D91" s="3" t="s">
        <v>80</v>
      </c>
      <c r="E91">
        <v>34887</v>
      </c>
      <c r="F91">
        <v>2</v>
      </c>
      <c r="G91">
        <v>3674</v>
      </c>
      <c r="H91">
        <f t="shared" si="3"/>
        <v>2025</v>
      </c>
      <c r="I91" t="str">
        <f t="shared" si="4"/>
        <v>June</v>
      </c>
      <c r="J91">
        <f t="shared" si="5"/>
        <v>0.10531143405853183</v>
      </c>
    </row>
    <row r="92" spans="1:10" x14ac:dyDescent="0.25">
      <c r="A92">
        <v>1091</v>
      </c>
      <c r="B92">
        <v>3</v>
      </c>
      <c r="C92">
        <v>110</v>
      </c>
      <c r="D92" s="3" t="s">
        <v>15</v>
      </c>
      <c r="E92">
        <v>3016</v>
      </c>
      <c r="F92">
        <v>6</v>
      </c>
      <c r="G92">
        <v>270</v>
      </c>
      <c r="H92">
        <f t="shared" si="3"/>
        <v>2025</v>
      </c>
      <c r="I92" t="str">
        <f t="shared" si="4"/>
        <v>April</v>
      </c>
      <c r="J92">
        <f t="shared" si="5"/>
        <v>8.952254641909814E-2</v>
      </c>
    </row>
    <row r="93" spans="1:10" x14ac:dyDescent="0.25">
      <c r="A93">
        <v>1092</v>
      </c>
      <c r="B93">
        <v>16</v>
      </c>
      <c r="C93">
        <v>106</v>
      </c>
      <c r="D93" s="3" t="s">
        <v>29</v>
      </c>
      <c r="E93">
        <v>24932</v>
      </c>
      <c r="F93">
        <v>4</v>
      </c>
      <c r="G93">
        <v>2269</v>
      </c>
      <c r="H93">
        <f t="shared" si="3"/>
        <v>2025</v>
      </c>
      <c r="I93" t="str">
        <f t="shared" si="4"/>
        <v>June</v>
      </c>
      <c r="J93">
        <f t="shared" si="5"/>
        <v>9.1007540510187709E-2</v>
      </c>
    </row>
    <row r="94" spans="1:10" x14ac:dyDescent="0.25">
      <c r="A94">
        <v>1093</v>
      </c>
      <c r="B94">
        <v>8</v>
      </c>
      <c r="C94">
        <v>104</v>
      </c>
      <c r="D94" s="3" t="s">
        <v>81</v>
      </c>
      <c r="E94">
        <v>18040</v>
      </c>
      <c r="F94">
        <v>3</v>
      </c>
      <c r="G94">
        <v>1928</v>
      </c>
      <c r="H94">
        <f t="shared" si="3"/>
        <v>2025</v>
      </c>
      <c r="I94" t="str">
        <f t="shared" si="4"/>
        <v>January</v>
      </c>
      <c r="J94">
        <f t="shared" si="5"/>
        <v>0.10687361419068736</v>
      </c>
    </row>
    <row r="95" spans="1:10" x14ac:dyDescent="0.25">
      <c r="A95">
        <v>1094</v>
      </c>
      <c r="B95">
        <v>19</v>
      </c>
      <c r="C95">
        <v>102</v>
      </c>
      <c r="D95" s="3" t="s">
        <v>82</v>
      </c>
      <c r="E95">
        <v>19813</v>
      </c>
      <c r="F95">
        <v>6</v>
      </c>
      <c r="G95">
        <v>2254</v>
      </c>
      <c r="H95">
        <f t="shared" si="3"/>
        <v>2025</v>
      </c>
      <c r="I95" t="str">
        <f t="shared" si="4"/>
        <v>January</v>
      </c>
      <c r="J95">
        <f t="shared" si="5"/>
        <v>0.11376369050623328</v>
      </c>
    </row>
    <row r="96" spans="1:10" x14ac:dyDescent="0.25">
      <c r="A96">
        <v>1095</v>
      </c>
      <c r="B96">
        <v>15</v>
      </c>
      <c r="C96">
        <v>102</v>
      </c>
      <c r="D96" s="3" t="s">
        <v>17</v>
      </c>
      <c r="E96">
        <v>5789</v>
      </c>
      <c r="F96">
        <v>1</v>
      </c>
      <c r="G96">
        <v>383</v>
      </c>
      <c r="H96">
        <f t="shared" si="3"/>
        <v>2025</v>
      </c>
      <c r="I96" t="str">
        <f t="shared" si="4"/>
        <v>March</v>
      </c>
      <c r="J96">
        <f t="shared" si="5"/>
        <v>6.6159958542062539E-2</v>
      </c>
    </row>
    <row r="97" spans="1:10" x14ac:dyDescent="0.25">
      <c r="A97">
        <v>1096</v>
      </c>
      <c r="B97">
        <v>1</v>
      </c>
      <c r="C97">
        <v>110</v>
      </c>
      <c r="D97" s="3" t="s">
        <v>24</v>
      </c>
      <c r="E97">
        <v>37677</v>
      </c>
      <c r="F97">
        <v>2</v>
      </c>
      <c r="G97">
        <v>5667</v>
      </c>
      <c r="H97">
        <f t="shared" si="3"/>
        <v>2025</v>
      </c>
      <c r="I97" t="str">
        <f t="shared" si="4"/>
        <v>April</v>
      </c>
      <c r="J97">
        <f t="shared" si="5"/>
        <v>0.15041006449558086</v>
      </c>
    </row>
    <row r="98" spans="1:10" x14ac:dyDescent="0.25">
      <c r="A98">
        <v>1097</v>
      </c>
      <c r="B98">
        <v>19</v>
      </c>
      <c r="C98">
        <v>108</v>
      </c>
      <c r="D98" s="3" t="s">
        <v>83</v>
      </c>
      <c r="E98">
        <v>7335</v>
      </c>
      <c r="F98">
        <v>9</v>
      </c>
      <c r="G98">
        <v>1170</v>
      </c>
      <c r="H98">
        <f t="shared" si="3"/>
        <v>2025</v>
      </c>
      <c r="I98" t="str">
        <f t="shared" si="4"/>
        <v>March</v>
      </c>
      <c r="J98">
        <f t="shared" si="5"/>
        <v>0.15950920245398773</v>
      </c>
    </row>
    <row r="99" spans="1:10" x14ac:dyDescent="0.25">
      <c r="A99">
        <v>1098</v>
      </c>
      <c r="B99">
        <v>6</v>
      </c>
      <c r="C99">
        <v>105</v>
      </c>
      <c r="D99" s="3" t="s">
        <v>84</v>
      </c>
      <c r="E99">
        <v>44768</v>
      </c>
      <c r="F99">
        <v>7</v>
      </c>
      <c r="G99">
        <v>7313</v>
      </c>
      <c r="H99">
        <f t="shared" si="3"/>
        <v>2025</v>
      </c>
      <c r="I99" t="str">
        <f t="shared" si="4"/>
        <v>May</v>
      </c>
      <c r="J99">
        <f t="shared" si="5"/>
        <v>0.16335328806290209</v>
      </c>
    </row>
    <row r="100" spans="1:10" x14ac:dyDescent="0.25">
      <c r="A100">
        <v>1099</v>
      </c>
      <c r="B100">
        <v>11</v>
      </c>
      <c r="C100">
        <v>105</v>
      </c>
      <c r="D100" s="3" t="s">
        <v>85</v>
      </c>
      <c r="E100">
        <v>49599</v>
      </c>
      <c r="F100">
        <v>4</v>
      </c>
      <c r="G100">
        <v>9632</v>
      </c>
      <c r="H100">
        <f t="shared" si="3"/>
        <v>2025</v>
      </c>
      <c r="I100" t="str">
        <f t="shared" si="4"/>
        <v>May</v>
      </c>
      <c r="J100">
        <f t="shared" si="5"/>
        <v>0.19419746365854151</v>
      </c>
    </row>
    <row r="101" spans="1:10" x14ac:dyDescent="0.25">
      <c r="A101">
        <v>1100</v>
      </c>
      <c r="B101">
        <v>13</v>
      </c>
      <c r="C101">
        <v>107</v>
      </c>
      <c r="D101" s="3" t="s">
        <v>65</v>
      </c>
      <c r="E101">
        <v>43667</v>
      </c>
      <c r="F101">
        <v>1</v>
      </c>
      <c r="G101">
        <v>6829</v>
      </c>
      <c r="H101">
        <f t="shared" si="3"/>
        <v>2025</v>
      </c>
      <c r="I101" t="str">
        <f t="shared" si="4"/>
        <v>May</v>
      </c>
      <c r="J101">
        <f t="shared" si="5"/>
        <v>0.15638811917466278</v>
      </c>
    </row>
    <row r="102" spans="1:10" x14ac:dyDescent="0.25">
      <c r="A102">
        <v>1101</v>
      </c>
      <c r="B102">
        <v>5</v>
      </c>
      <c r="C102">
        <v>107</v>
      </c>
      <c r="D102" s="3" t="s">
        <v>86</v>
      </c>
      <c r="E102">
        <v>19868</v>
      </c>
      <c r="F102">
        <v>8</v>
      </c>
      <c r="G102">
        <v>3040</v>
      </c>
      <c r="H102">
        <f t="shared" si="3"/>
        <v>2025</v>
      </c>
      <c r="I102" t="str">
        <f t="shared" si="4"/>
        <v>January</v>
      </c>
      <c r="J102">
        <f t="shared" si="5"/>
        <v>0.15300986510972417</v>
      </c>
    </row>
    <row r="103" spans="1:10" x14ac:dyDescent="0.25">
      <c r="A103">
        <v>1102</v>
      </c>
      <c r="B103">
        <v>18</v>
      </c>
      <c r="C103">
        <v>102</v>
      </c>
      <c r="D103" s="3" t="s">
        <v>72</v>
      </c>
      <c r="E103">
        <v>41791</v>
      </c>
      <c r="F103">
        <v>7</v>
      </c>
      <c r="G103">
        <v>6805</v>
      </c>
      <c r="H103">
        <f t="shared" si="3"/>
        <v>2025</v>
      </c>
      <c r="I103" t="str">
        <f t="shared" si="4"/>
        <v>June</v>
      </c>
      <c r="J103">
        <f t="shared" si="5"/>
        <v>0.16283410303653897</v>
      </c>
    </row>
    <row r="104" spans="1:10" x14ac:dyDescent="0.25">
      <c r="A104">
        <v>1103</v>
      </c>
      <c r="B104">
        <v>15</v>
      </c>
      <c r="C104">
        <v>107</v>
      </c>
      <c r="D104" s="3" t="s">
        <v>87</v>
      </c>
      <c r="E104">
        <v>41776</v>
      </c>
      <c r="F104">
        <v>7</v>
      </c>
      <c r="G104">
        <v>3371</v>
      </c>
      <c r="H104">
        <f t="shared" si="3"/>
        <v>2025</v>
      </c>
      <c r="I104" t="str">
        <f t="shared" si="4"/>
        <v>May</v>
      </c>
      <c r="J104">
        <f t="shared" si="5"/>
        <v>8.0692263500574499E-2</v>
      </c>
    </row>
    <row r="105" spans="1:10" x14ac:dyDescent="0.25">
      <c r="A105">
        <v>1104</v>
      </c>
      <c r="B105">
        <v>7</v>
      </c>
      <c r="C105">
        <v>103</v>
      </c>
      <c r="D105" s="3" t="s">
        <v>15</v>
      </c>
      <c r="E105">
        <v>5993</v>
      </c>
      <c r="F105">
        <v>4</v>
      </c>
      <c r="G105">
        <v>1116</v>
      </c>
      <c r="H105">
        <f t="shared" si="3"/>
        <v>2025</v>
      </c>
      <c r="I105" t="str">
        <f t="shared" si="4"/>
        <v>April</v>
      </c>
      <c r="J105">
        <f t="shared" si="5"/>
        <v>0.18621725346237278</v>
      </c>
    </row>
    <row r="106" spans="1:10" x14ac:dyDescent="0.25">
      <c r="A106">
        <v>1105</v>
      </c>
      <c r="B106">
        <v>3</v>
      </c>
      <c r="C106">
        <v>102</v>
      </c>
      <c r="D106" s="3" t="s">
        <v>26</v>
      </c>
      <c r="E106">
        <v>4335</v>
      </c>
      <c r="F106">
        <v>4</v>
      </c>
      <c r="G106">
        <v>649</v>
      </c>
      <c r="H106">
        <f t="shared" si="3"/>
        <v>2025</v>
      </c>
      <c r="I106" t="str">
        <f t="shared" si="4"/>
        <v>March</v>
      </c>
      <c r="J106">
        <f t="shared" si="5"/>
        <v>0.14971164936562861</v>
      </c>
    </row>
    <row r="107" spans="1:10" x14ac:dyDescent="0.25">
      <c r="A107">
        <v>1106</v>
      </c>
      <c r="B107">
        <v>3</v>
      </c>
      <c r="C107">
        <v>107</v>
      </c>
      <c r="D107" s="3" t="s">
        <v>88</v>
      </c>
      <c r="E107">
        <v>27693</v>
      </c>
      <c r="F107">
        <v>4</v>
      </c>
      <c r="G107">
        <v>4784</v>
      </c>
      <c r="H107">
        <f t="shared" si="3"/>
        <v>2025</v>
      </c>
      <c r="I107" t="str">
        <f t="shared" si="4"/>
        <v>June</v>
      </c>
      <c r="J107">
        <f t="shared" si="5"/>
        <v>0.17275123677463619</v>
      </c>
    </row>
    <row r="108" spans="1:10" x14ac:dyDescent="0.25">
      <c r="A108">
        <v>1107</v>
      </c>
      <c r="B108">
        <v>8</v>
      </c>
      <c r="C108">
        <v>102</v>
      </c>
      <c r="D108" s="3" t="s">
        <v>55</v>
      </c>
      <c r="E108">
        <v>10790</v>
      </c>
      <c r="F108">
        <v>8</v>
      </c>
      <c r="G108">
        <v>1688</v>
      </c>
      <c r="H108">
        <f t="shared" si="3"/>
        <v>2025</v>
      </c>
      <c r="I108" t="str">
        <f t="shared" si="4"/>
        <v>January</v>
      </c>
      <c r="J108">
        <f t="shared" si="5"/>
        <v>0.15644114921223354</v>
      </c>
    </row>
    <row r="109" spans="1:10" x14ac:dyDescent="0.25">
      <c r="A109">
        <v>1108</v>
      </c>
      <c r="B109">
        <v>17</v>
      </c>
      <c r="C109">
        <v>106</v>
      </c>
      <c r="D109" s="3" t="s">
        <v>31</v>
      </c>
      <c r="E109">
        <v>26348</v>
      </c>
      <c r="F109">
        <v>5</v>
      </c>
      <c r="G109">
        <v>1956</v>
      </c>
      <c r="H109">
        <f t="shared" si="3"/>
        <v>2025</v>
      </c>
      <c r="I109" t="str">
        <f t="shared" si="4"/>
        <v>March</v>
      </c>
      <c r="J109">
        <f t="shared" si="5"/>
        <v>7.4237133748292092E-2</v>
      </c>
    </row>
    <row r="110" spans="1:10" x14ac:dyDescent="0.25">
      <c r="A110">
        <v>1109</v>
      </c>
      <c r="B110">
        <v>5</v>
      </c>
      <c r="C110">
        <v>107</v>
      </c>
      <c r="D110" s="3" t="s">
        <v>52</v>
      </c>
      <c r="E110">
        <v>27533</v>
      </c>
      <c r="F110">
        <v>1</v>
      </c>
      <c r="G110">
        <v>2907</v>
      </c>
      <c r="H110">
        <f t="shared" si="3"/>
        <v>2025</v>
      </c>
      <c r="I110" t="str">
        <f t="shared" si="4"/>
        <v>March</v>
      </c>
      <c r="J110">
        <f t="shared" si="5"/>
        <v>0.10558239203864453</v>
      </c>
    </row>
    <row r="111" spans="1:10" x14ac:dyDescent="0.25">
      <c r="A111">
        <v>1110</v>
      </c>
      <c r="B111">
        <v>6</v>
      </c>
      <c r="C111">
        <v>103</v>
      </c>
      <c r="D111" s="3" t="s">
        <v>52</v>
      </c>
      <c r="E111">
        <v>27872</v>
      </c>
      <c r="F111">
        <v>6</v>
      </c>
      <c r="G111">
        <v>5435</v>
      </c>
      <c r="H111">
        <f t="shared" si="3"/>
        <v>2025</v>
      </c>
      <c r="I111" t="str">
        <f t="shared" si="4"/>
        <v>March</v>
      </c>
      <c r="J111">
        <f t="shared" si="5"/>
        <v>0.19499856486796785</v>
      </c>
    </row>
    <row r="112" spans="1:10" x14ac:dyDescent="0.25">
      <c r="A112">
        <v>1111</v>
      </c>
      <c r="B112">
        <v>10</v>
      </c>
      <c r="C112">
        <v>110</v>
      </c>
      <c r="D112" s="3" t="s">
        <v>45</v>
      </c>
      <c r="E112">
        <v>42456</v>
      </c>
      <c r="F112">
        <v>8</v>
      </c>
      <c r="G112">
        <v>2822</v>
      </c>
      <c r="H112">
        <f t="shared" si="3"/>
        <v>2025</v>
      </c>
      <c r="I112" t="str">
        <f t="shared" si="4"/>
        <v>January</v>
      </c>
      <c r="J112">
        <f t="shared" si="5"/>
        <v>6.6468814772941393E-2</v>
      </c>
    </row>
    <row r="113" spans="1:10" x14ac:dyDescent="0.25">
      <c r="A113">
        <v>1112</v>
      </c>
      <c r="B113">
        <v>4</v>
      </c>
      <c r="C113">
        <v>101</v>
      </c>
      <c r="D113" s="3" t="s">
        <v>51</v>
      </c>
      <c r="E113">
        <v>16166</v>
      </c>
      <c r="F113">
        <v>4</v>
      </c>
      <c r="G113">
        <v>3099</v>
      </c>
      <c r="H113">
        <f t="shared" si="3"/>
        <v>2025</v>
      </c>
      <c r="I113" t="str">
        <f t="shared" si="4"/>
        <v>June</v>
      </c>
      <c r="J113">
        <f t="shared" si="5"/>
        <v>0.19169862674749474</v>
      </c>
    </row>
    <row r="114" spans="1:10" x14ac:dyDescent="0.25">
      <c r="A114">
        <v>1113</v>
      </c>
      <c r="B114">
        <v>1</v>
      </c>
      <c r="C114">
        <v>103</v>
      </c>
      <c r="D114" s="3" t="s">
        <v>49</v>
      </c>
      <c r="E114">
        <v>46126</v>
      </c>
      <c r="F114">
        <v>6</v>
      </c>
      <c r="G114">
        <v>5910</v>
      </c>
      <c r="H114">
        <f t="shared" si="3"/>
        <v>2025</v>
      </c>
      <c r="I114" t="str">
        <f t="shared" si="4"/>
        <v>February</v>
      </c>
      <c r="J114">
        <f t="shared" si="5"/>
        <v>0.12812730347309542</v>
      </c>
    </row>
    <row r="115" spans="1:10" x14ac:dyDescent="0.25">
      <c r="A115">
        <v>1114</v>
      </c>
      <c r="B115">
        <v>14</v>
      </c>
      <c r="C115">
        <v>101</v>
      </c>
      <c r="D115" s="3" t="s">
        <v>87</v>
      </c>
      <c r="E115">
        <v>23196</v>
      </c>
      <c r="F115">
        <v>5</v>
      </c>
      <c r="G115">
        <v>1904</v>
      </c>
      <c r="H115">
        <f t="shared" si="3"/>
        <v>2025</v>
      </c>
      <c r="I115" t="str">
        <f t="shared" si="4"/>
        <v>May</v>
      </c>
      <c r="J115">
        <f t="shared" si="5"/>
        <v>8.2083117778927406E-2</v>
      </c>
    </row>
    <row r="116" spans="1:10" x14ac:dyDescent="0.25">
      <c r="A116">
        <v>1115</v>
      </c>
      <c r="B116">
        <v>14</v>
      </c>
      <c r="C116">
        <v>102</v>
      </c>
      <c r="D116" s="3" t="s">
        <v>89</v>
      </c>
      <c r="E116">
        <v>18538</v>
      </c>
      <c r="F116">
        <v>4</v>
      </c>
      <c r="G116">
        <v>3651</v>
      </c>
      <c r="H116">
        <f t="shared" si="3"/>
        <v>2025</v>
      </c>
      <c r="I116" t="str">
        <f t="shared" si="4"/>
        <v>June</v>
      </c>
      <c r="J116">
        <f t="shared" si="5"/>
        <v>0.19694681195382457</v>
      </c>
    </row>
    <row r="117" spans="1:10" x14ac:dyDescent="0.25">
      <c r="A117">
        <v>1116</v>
      </c>
      <c r="B117">
        <v>15</v>
      </c>
      <c r="C117">
        <v>105</v>
      </c>
      <c r="D117" s="3" t="s">
        <v>48</v>
      </c>
      <c r="E117">
        <v>31433</v>
      </c>
      <c r="F117">
        <v>4</v>
      </c>
      <c r="G117">
        <v>5537</v>
      </c>
      <c r="H117">
        <f t="shared" si="3"/>
        <v>2025</v>
      </c>
      <c r="I117" t="str">
        <f t="shared" si="4"/>
        <v>June</v>
      </c>
      <c r="J117">
        <f t="shared" si="5"/>
        <v>0.17615245124550633</v>
      </c>
    </row>
    <row r="118" spans="1:10" x14ac:dyDescent="0.25">
      <c r="A118">
        <v>1117</v>
      </c>
      <c r="B118">
        <v>6</v>
      </c>
      <c r="C118">
        <v>103</v>
      </c>
      <c r="D118" s="3" t="s">
        <v>90</v>
      </c>
      <c r="E118">
        <v>1199</v>
      </c>
      <c r="F118">
        <v>10</v>
      </c>
      <c r="G118">
        <v>93</v>
      </c>
      <c r="H118">
        <f t="shared" si="3"/>
        <v>2025</v>
      </c>
      <c r="I118" t="str">
        <f t="shared" si="4"/>
        <v>January</v>
      </c>
      <c r="J118">
        <f t="shared" si="5"/>
        <v>7.7564637197664724E-2</v>
      </c>
    </row>
    <row r="119" spans="1:10" x14ac:dyDescent="0.25">
      <c r="A119">
        <v>1118</v>
      </c>
      <c r="B119">
        <v>9</v>
      </c>
      <c r="C119">
        <v>102</v>
      </c>
      <c r="D119" s="3" t="s">
        <v>42</v>
      </c>
      <c r="E119">
        <v>20066</v>
      </c>
      <c r="F119">
        <v>6</v>
      </c>
      <c r="G119">
        <v>2991</v>
      </c>
      <c r="H119">
        <f t="shared" si="3"/>
        <v>2025</v>
      </c>
      <c r="I119" t="str">
        <f t="shared" si="4"/>
        <v>June</v>
      </c>
      <c r="J119">
        <f t="shared" si="5"/>
        <v>0.14905810824279878</v>
      </c>
    </row>
    <row r="120" spans="1:10" x14ac:dyDescent="0.25">
      <c r="A120">
        <v>1119</v>
      </c>
      <c r="B120">
        <v>13</v>
      </c>
      <c r="C120">
        <v>104</v>
      </c>
      <c r="D120" s="3" t="s">
        <v>91</v>
      </c>
      <c r="E120">
        <v>7617</v>
      </c>
      <c r="F120">
        <v>10</v>
      </c>
      <c r="G120">
        <v>1263</v>
      </c>
      <c r="H120">
        <f t="shared" si="3"/>
        <v>2025</v>
      </c>
      <c r="I120" t="str">
        <f t="shared" si="4"/>
        <v>May</v>
      </c>
      <c r="J120">
        <f t="shared" si="5"/>
        <v>0.16581331232768806</v>
      </c>
    </row>
    <row r="121" spans="1:10" x14ac:dyDescent="0.25">
      <c r="A121">
        <v>1120</v>
      </c>
      <c r="B121">
        <v>13</v>
      </c>
      <c r="C121">
        <v>108</v>
      </c>
      <c r="D121" s="3" t="s">
        <v>68</v>
      </c>
      <c r="E121">
        <v>13418</v>
      </c>
      <c r="F121">
        <v>8</v>
      </c>
      <c r="G121">
        <v>920</v>
      </c>
      <c r="H121">
        <f t="shared" si="3"/>
        <v>2025</v>
      </c>
      <c r="I121" t="str">
        <f t="shared" si="4"/>
        <v>January</v>
      </c>
      <c r="J121">
        <f t="shared" si="5"/>
        <v>6.8564614696676102E-2</v>
      </c>
    </row>
    <row r="122" spans="1:10" x14ac:dyDescent="0.25">
      <c r="A122">
        <v>1121</v>
      </c>
      <c r="B122">
        <v>8</v>
      </c>
      <c r="C122">
        <v>109</v>
      </c>
      <c r="D122" s="3" t="s">
        <v>92</v>
      </c>
      <c r="E122">
        <v>12032</v>
      </c>
      <c r="F122">
        <v>2</v>
      </c>
      <c r="G122">
        <v>1665</v>
      </c>
      <c r="H122">
        <f t="shared" si="3"/>
        <v>2025</v>
      </c>
      <c r="I122" t="str">
        <f t="shared" si="4"/>
        <v>February</v>
      </c>
      <c r="J122">
        <f t="shared" si="5"/>
        <v>0.1383809840425532</v>
      </c>
    </row>
    <row r="123" spans="1:10" x14ac:dyDescent="0.25">
      <c r="A123">
        <v>1122</v>
      </c>
      <c r="B123">
        <v>3</v>
      </c>
      <c r="C123">
        <v>102</v>
      </c>
      <c r="D123" s="3" t="s">
        <v>93</v>
      </c>
      <c r="E123">
        <v>47181</v>
      </c>
      <c r="F123">
        <v>9</v>
      </c>
      <c r="G123">
        <v>6676</v>
      </c>
      <c r="H123">
        <f t="shared" si="3"/>
        <v>2025</v>
      </c>
      <c r="I123" t="str">
        <f t="shared" si="4"/>
        <v>February</v>
      </c>
      <c r="J123">
        <f t="shared" si="5"/>
        <v>0.1414976367605604</v>
      </c>
    </row>
    <row r="124" spans="1:10" x14ac:dyDescent="0.25">
      <c r="A124">
        <v>1123</v>
      </c>
      <c r="B124">
        <v>20</v>
      </c>
      <c r="C124">
        <v>106</v>
      </c>
      <c r="D124" s="3" t="s">
        <v>21</v>
      </c>
      <c r="E124">
        <v>19800</v>
      </c>
      <c r="F124">
        <v>4</v>
      </c>
      <c r="G124">
        <v>1888</v>
      </c>
      <c r="H124">
        <f t="shared" si="3"/>
        <v>2025</v>
      </c>
      <c r="I124" t="str">
        <f t="shared" si="4"/>
        <v>February</v>
      </c>
      <c r="J124">
        <f t="shared" si="5"/>
        <v>9.5353535353535357E-2</v>
      </c>
    </row>
    <row r="125" spans="1:10" x14ac:dyDescent="0.25">
      <c r="A125">
        <v>1124</v>
      </c>
      <c r="B125">
        <v>1</v>
      </c>
      <c r="C125">
        <v>102</v>
      </c>
      <c r="D125" s="3" t="s">
        <v>94</v>
      </c>
      <c r="E125">
        <v>15088</v>
      </c>
      <c r="F125">
        <v>9</v>
      </c>
      <c r="G125">
        <v>2999</v>
      </c>
      <c r="H125">
        <f t="shared" si="3"/>
        <v>2025</v>
      </c>
      <c r="I125" t="str">
        <f t="shared" si="4"/>
        <v>February</v>
      </c>
      <c r="J125">
        <f t="shared" si="5"/>
        <v>0.19876723223753975</v>
      </c>
    </row>
    <row r="126" spans="1:10" x14ac:dyDescent="0.25">
      <c r="A126">
        <v>1125</v>
      </c>
      <c r="B126">
        <v>11</v>
      </c>
      <c r="C126">
        <v>102</v>
      </c>
      <c r="D126" s="3" t="s">
        <v>95</v>
      </c>
      <c r="E126">
        <v>923</v>
      </c>
      <c r="F126">
        <v>6</v>
      </c>
      <c r="G126">
        <v>141</v>
      </c>
      <c r="H126">
        <f t="shared" si="3"/>
        <v>2025</v>
      </c>
      <c r="I126" t="str">
        <f t="shared" si="4"/>
        <v>February</v>
      </c>
      <c r="J126">
        <f t="shared" si="5"/>
        <v>0.15276273022751896</v>
      </c>
    </row>
    <row r="127" spans="1:10" x14ac:dyDescent="0.25">
      <c r="A127">
        <v>1126</v>
      </c>
      <c r="B127">
        <v>3</v>
      </c>
      <c r="C127">
        <v>102</v>
      </c>
      <c r="D127" s="3" t="s">
        <v>96</v>
      </c>
      <c r="E127">
        <v>37301</v>
      </c>
      <c r="F127">
        <v>1</v>
      </c>
      <c r="G127">
        <v>6120</v>
      </c>
      <c r="H127">
        <f t="shared" si="3"/>
        <v>2025</v>
      </c>
      <c r="I127" t="str">
        <f t="shared" si="4"/>
        <v>March</v>
      </c>
      <c r="J127">
        <f t="shared" si="5"/>
        <v>0.16407066834669312</v>
      </c>
    </row>
    <row r="128" spans="1:10" x14ac:dyDescent="0.25">
      <c r="A128">
        <v>1127</v>
      </c>
      <c r="B128">
        <v>6</v>
      </c>
      <c r="C128">
        <v>110</v>
      </c>
      <c r="D128" s="3" t="s">
        <v>97</v>
      </c>
      <c r="E128">
        <v>26990</v>
      </c>
      <c r="F128">
        <v>2</v>
      </c>
      <c r="G128">
        <v>5015</v>
      </c>
      <c r="H128">
        <f t="shared" si="3"/>
        <v>2025</v>
      </c>
      <c r="I128" t="str">
        <f t="shared" si="4"/>
        <v>May</v>
      </c>
      <c r="J128">
        <f t="shared" si="5"/>
        <v>0.18580955909596147</v>
      </c>
    </row>
    <row r="129" spans="1:10" x14ac:dyDescent="0.25">
      <c r="A129">
        <v>1128</v>
      </c>
      <c r="B129">
        <v>5</v>
      </c>
      <c r="C129">
        <v>104</v>
      </c>
      <c r="D129" s="3" t="s">
        <v>12</v>
      </c>
      <c r="E129">
        <v>37426</v>
      </c>
      <c r="F129">
        <v>10</v>
      </c>
      <c r="G129">
        <v>5118</v>
      </c>
      <c r="H129">
        <f t="shared" si="3"/>
        <v>2025</v>
      </c>
      <c r="I129" t="str">
        <f t="shared" si="4"/>
        <v>January</v>
      </c>
      <c r="J129">
        <f t="shared" si="5"/>
        <v>0.13674985304333886</v>
      </c>
    </row>
    <row r="130" spans="1:10" x14ac:dyDescent="0.25">
      <c r="A130">
        <v>1129</v>
      </c>
      <c r="B130">
        <v>9</v>
      </c>
      <c r="C130">
        <v>105</v>
      </c>
      <c r="D130" s="3" t="s">
        <v>98</v>
      </c>
      <c r="E130">
        <v>10139</v>
      </c>
      <c r="F130">
        <v>8</v>
      </c>
      <c r="G130">
        <v>2007</v>
      </c>
      <c r="H130">
        <f t="shared" si="3"/>
        <v>2025</v>
      </c>
      <c r="I130" t="str">
        <f t="shared" si="4"/>
        <v>January</v>
      </c>
      <c r="J130">
        <f t="shared" si="5"/>
        <v>0.19794851563270541</v>
      </c>
    </row>
    <row r="131" spans="1:10" x14ac:dyDescent="0.25">
      <c r="A131">
        <v>1130</v>
      </c>
      <c r="B131">
        <v>16</v>
      </c>
      <c r="C131">
        <v>102</v>
      </c>
      <c r="D131" s="3" t="s">
        <v>14</v>
      </c>
      <c r="E131">
        <v>31810</v>
      </c>
      <c r="F131">
        <v>7</v>
      </c>
      <c r="G131">
        <v>2321</v>
      </c>
      <c r="H131">
        <f t="shared" ref="H131:H151" si="6">YEAR(D131)</f>
        <v>2025</v>
      </c>
      <c r="I131" t="str">
        <f t="shared" ref="I131:I151" si="7">TEXT(D131,"mmmm")</f>
        <v>May</v>
      </c>
      <c r="J131">
        <f t="shared" ref="J131:J151" si="8">G131/E131</f>
        <v>7.296447657969192E-2</v>
      </c>
    </row>
    <row r="132" spans="1:10" x14ac:dyDescent="0.25">
      <c r="A132">
        <v>1131</v>
      </c>
      <c r="B132">
        <v>13</v>
      </c>
      <c r="C132">
        <v>101</v>
      </c>
      <c r="D132" s="3" t="s">
        <v>99</v>
      </c>
      <c r="E132">
        <v>30154</v>
      </c>
      <c r="F132">
        <v>2</v>
      </c>
      <c r="G132">
        <v>1559</v>
      </c>
      <c r="H132">
        <f t="shared" si="6"/>
        <v>2025</v>
      </c>
      <c r="I132" t="str">
        <f t="shared" si="7"/>
        <v>April</v>
      </c>
      <c r="J132">
        <f t="shared" si="8"/>
        <v>5.1701266830271271E-2</v>
      </c>
    </row>
    <row r="133" spans="1:10" x14ac:dyDescent="0.25">
      <c r="A133">
        <v>1132</v>
      </c>
      <c r="B133">
        <v>5</v>
      </c>
      <c r="C133">
        <v>103</v>
      </c>
      <c r="D133" s="3" t="s">
        <v>28</v>
      </c>
      <c r="E133">
        <v>48132</v>
      </c>
      <c r="F133">
        <v>5</v>
      </c>
      <c r="G133">
        <v>2717</v>
      </c>
      <c r="H133">
        <f t="shared" si="6"/>
        <v>2025</v>
      </c>
      <c r="I133" t="str">
        <f t="shared" si="7"/>
        <v>April</v>
      </c>
      <c r="J133">
        <f t="shared" si="8"/>
        <v>5.6448932103382365E-2</v>
      </c>
    </row>
    <row r="134" spans="1:10" x14ac:dyDescent="0.25">
      <c r="A134">
        <v>1133</v>
      </c>
      <c r="B134">
        <v>19</v>
      </c>
      <c r="C134">
        <v>104</v>
      </c>
      <c r="D134" s="3" t="s">
        <v>23</v>
      </c>
      <c r="E134">
        <v>39662</v>
      </c>
      <c r="F134">
        <v>2</v>
      </c>
      <c r="G134">
        <v>7267</v>
      </c>
      <c r="H134">
        <f t="shared" si="6"/>
        <v>2025</v>
      </c>
      <c r="I134" t="str">
        <f t="shared" si="7"/>
        <v>June</v>
      </c>
      <c r="J134">
        <f t="shared" si="8"/>
        <v>0.18322323634713328</v>
      </c>
    </row>
    <row r="135" spans="1:10" x14ac:dyDescent="0.25">
      <c r="A135">
        <v>1134</v>
      </c>
      <c r="B135">
        <v>14</v>
      </c>
      <c r="C135">
        <v>103</v>
      </c>
      <c r="D135" s="3" t="s">
        <v>100</v>
      </c>
      <c r="E135">
        <v>13379</v>
      </c>
      <c r="F135">
        <v>3</v>
      </c>
      <c r="G135">
        <v>1888</v>
      </c>
      <c r="H135">
        <f t="shared" si="6"/>
        <v>2025</v>
      </c>
      <c r="I135" t="str">
        <f t="shared" si="7"/>
        <v>February</v>
      </c>
      <c r="J135">
        <f t="shared" si="8"/>
        <v>0.1411166753868002</v>
      </c>
    </row>
    <row r="136" spans="1:10" x14ac:dyDescent="0.25">
      <c r="A136">
        <v>1135</v>
      </c>
      <c r="B136">
        <v>5</v>
      </c>
      <c r="C136">
        <v>105</v>
      </c>
      <c r="D136" s="3" t="s">
        <v>10</v>
      </c>
      <c r="E136">
        <v>46207</v>
      </c>
      <c r="F136">
        <v>6</v>
      </c>
      <c r="G136">
        <v>8488</v>
      </c>
      <c r="H136">
        <f t="shared" si="6"/>
        <v>2025</v>
      </c>
      <c r="I136" t="str">
        <f t="shared" si="7"/>
        <v>January</v>
      </c>
      <c r="J136">
        <f t="shared" si="8"/>
        <v>0.18369511113034823</v>
      </c>
    </row>
    <row r="137" spans="1:10" x14ac:dyDescent="0.25">
      <c r="A137">
        <v>1136</v>
      </c>
      <c r="B137">
        <v>18</v>
      </c>
      <c r="C137">
        <v>109</v>
      </c>
      <c r="D137" s="3" t="s">
        <v>101</v>
      </c>
      <c r="E137">
        <v>17850</v>
      </c>
      <c r="F137">
        <v>4</v>
      </c>
      <c r="G137">
        <v>1091</v>
      </c>
      <c r="H137">
        <f t="shared" si="6"/>
        <v>2025</v>
      </c>
      <c r="I137" t="str">
        <f t="shared" si="7"/>
        <v>March</v>
      </c>
      <c r="J137">
        <f t="shared" si="8"/>
        <v>6.1120448179271709E-2</v>
      </c>
    </row>
    <row r="138" spans="1:10" x14ac:dyDescent="0.25">
      <c r="A138">
        <v>1137</v>
      </c>
      <c r="B138">
        <v>16</v>
      </c>
      <c r="C138">
        <v>107</v>
      </c>
      <c r="D138" s="3" t="s">
        <v>84</v>
      </c>
      <c r="E138">
        <v>3777</v>
      </c>
      <c r="F138">
        <v>5</v>
      </c>
      <c r="G138">
        <v>632</v>
      </c>
      <c r="H138">
        <f t="shared" si="6"/>
        <v>2025</v>
      </c>
      <c r="I138" t="str">
        <f t="shared" si="7"/>
        <v>May</v>
      </c>
      <c r="J138">
        <f t="shared" si="8"/>
        <v>0.16732856764628012</v>
      </c>
    </row>
    <row r="139" spans="1:10" x14ac:dyDescent="0.25">
      <c r="A139">
        <v>1138</v>
      </c>
      <c r="B139">
        <v>5</v>
      </c>
      <c r="C139">
        <v>103</v>
      </c>
      <c r="D139" s="3" t="s">
        <v>43</v>
      </c>
      <c r="E139">
        <v>2056</v>
      </c>
      <c r="F139">
        <v>10</v>
      </c>
      <c r="G139">
        <v>178</v>
      </c>
      <c r="H139">
        <f t="shared" si="6"/>
        <v>2025</v>
      </c>
      <c r="I139" t="str">
        <f t="shared" si="7"/>
        <v>April</v>
      </c>
      <c r="J139">
        <f t="shared" si="8"/>
        <v>8.6575875486381321E-2</v>
      </c>
    </row>
    <row r="140" spans="1:10" x14ac:dyDescent="0.25">
      <c r="A140">
        <v>1139</v>
      </c>
      <c r="B140">
        <v>16</v>
      </c>
      <c r="C140">
        <v>105</v>
      </c>
      <c r="D140" s="3" t="s">
        <v>87</v>
      </c>
      <c r="E140">
        <v>695</v>
      </c>
      <c r="F140">
        <v>1</v>
      </c>
      <c r="G140">
        <v>48</v>
      </c>
      <c r="H140">
        <f t="shared" si="6"/>
        <v>2025</v>
      </c>
      <c r="I140" t="str">
        <f t="shared" si="7"/>
        <v>May</v>
      </c>
      <c r="J140">
        <f t="shared" si="8"/>
        <v>6.9064748201438847E-2</v>
      </c>
    </row>
    <row r="141" spans="1:10" x14ac:dyDescent="0.25">
      <c r="A141">
        <v>1140</v>
      </c>
      <c r="B141">
        <v>15</v>
      </c>
      <c r="C141">
        <v>108</v>
      </c>
      <c r="D141" s="3" t="s">
        <v>102</v>
      </c>
      <c r="E141">
        <v>3578</v>
      </c>
      <c r="F141">
        <v>5</v>
      </c>
      <c r="G141">
        <v>256</v>
      </c>
      <c r="H141">
        <f t="shared" si="6"/>
        <v>2025</v>
      </c>
      <c r="I141" t="str">
        <f t="shared" si="7"/>
        <v>February</v>
      </c>
      <c r="J141">
        <f t="shared" si="8"/>
        <v>7.1548351034097263E-2</v>
      </c>
    </row>
    <row r="142" spans="1:10" x14ac:dyDescent="0.25">
      <c r="A142">
        <v>1141</v>
      </c>
      <c r="B142">
        <v>3</v>
      </c>
      <c r="C142">
        <v>102</v>
      </c>
      <c r="D142" s="3" t="s">
        <v>62</v>
      </c>
      <c r="E142">
        <v>42558</v>
      </c>
      <c r="F142">
        <v>4</v>
      </c>
      <c r="G142">
        <v>2165</v>
      </c>
      <c r="H142">
        <f t="shared" si="6"/>
        <v>2025</v>
      </c>
      <c r="I142" t="str">
        <f t="shared" si="7"/>
        <v>March</v>
      </c>
      <c r="J142">
        <f t="shared" si="8"/>
        <v>5.0871751492081396E-2</v>
      </c>
    </row>
    <row r="143" spans="1:10" x14ac:dyDescent="0.25">
      <c r="A143">
        <v>1142</v>
      </c>
      <c r="B143">
        <v>2</v>
      </c>
      <c r="C143">
        <v>105</v>
      </c>
      <c r="D143" s="3" t="s">
        <v>103</v>
      </c>
      <c r="E143">
        <v>25692</v>
      </c>
      <c r="F143">
        <v>2</v>
      </c>
      <c r="G143">
        <v>3597</v>
      </c>
      <c r="H143">
        <f t="shared" si="6"/>
        <v>2025</v>
      </c>
      <c r="I143" t="str">
        <f t="shared" si="7"/>
        <v>June</v>
      </c>
      <c r="J143">
        <f t="shared" si="8"/>
        <v>0.14000467071461933</v>
      </c>
    </row>
    <row r="144" spans="1:10" x14ac:dyDescent="0.25">
      <c r="A144">
        <v>1143</v>
      </c>
      <c r="B144">
        <v>2</v>
      </c>
      <c r="C144">
        <v>101</v>
      </c>
      <c r="D144" s="3" t="s">
        <v>104</v>
      </c>
      <c r="E144">
        <v>34911</v>
      </c>
      <c r="F144">
        <v>3</v>
      </c>
      <c r="G144">
        <v>3931</v>
      </c>
      <c r="H144">
        <f t="shared" si="6"/>
        <v>2025</v>
      </c>
      <c r="I144" t="str">
        <f t="shared" si="7"/>
        <v>April</v>
      </c>
      <c r="J144">
        <f t="shared" si="8"/>
        <v>0.11260061298731058</v>
      </c>
    </row>
    <row r="145" spans="1:10" x14ac:dyDescent="0.25">
      <c r="A145">
        <v>1144</v>
      </c>
      <c r="B145">
        <v>19</v>
      </c>
      <c r="C145">
        <v>106</v>
      </c>
      <c r="D145" s="3" t="s">
        <v>91</v>
      </c>
      <c r="E145">
        <v>34603</v>
      </c>
      <c r="F145">
        <v>7</v>
      </c>
      <c r="G145">
        <v>4992</v>
      </c>
      <c r="H145">
        <f t="shared" si="6"/>
        <v>2025</v>
      </c>
      <c r="I145" t="str">
        <f t="shared" si="7"/>
        <v>May</v>
      </c>
      <c r="J145">
        <f t="shared" si="8"/>
        <v>0.14426494812588503</v>
      </c>
    </row>
    <row r="146" spans="1:10" x14ac:dyDescent="0.25">
      <c r="A146">
        <v>1145</v>
      </c>
      <c r="B146">
        <v>1</v>
      </c>
      <c r="C146">
        <v>107</v>
      </c>
      <c r="D146" s="3" t="s">
        <v>20</v>
      </c>
      <c r="E146">
        <v>47057</v>
      </c>
      <c r="F146">
        <v>3</v>
      </c>
      <c r="G146">
        <v>6244</v>
      </c>
      <c r="H146">
        <f t="shared" si="6"/>
        <v>2025</v>
      </c>
      <c r="I146" t="str">
        <f t="shared" si="7"/>
        <v>June</v>
      </c>
      <c r="J146">
        <f t="shared" si="8"/>
        <v>0.13269014174299254</v>
      </c>
    </row>
    <row r="147" spans="1:10" x14ac:dyDescent="0.25">
      <c r="A147">
        <v>1146</v>
      </c>
      <c r="B147">
        <v>3</v>
      </c>
      <c r="C147">
        <v>104</v>
      </c>
      <c r="D147" s="3" t="s">
        <v>105</v>
      </c>
      <c r="E147">
        <v>45644</v>
      </c>
      <c r="F147">
        <v>6</v>
      </c>
      <c r="G147">
        <v>3465</v>
      </c>
      <c r="H147">
        <f t="shared" si="6"/>
        <v>2025</v>
      </c>
      <c r="I147" t="str">
        <f t="shared" si="7"/>
        <v>January</v>
      </c>
      <c r="J147">
        <f t="shared" si="8"/>
        <v>7.5913592147927436E-2</v>
      </c>
    </row>
    <row r="148" spans="1:10" x14ac:dyDescent="0.25">
      <c r="A148">
        <v>1147</v>
      </c>
      <c r="B148">
        <v>10</v>
      </c>
      <c r="C148">
        <v>110</v>
      </c>
      <c r="D148" s="3" t="s">
        <v>106</v>
      </c>
      <c r="E148">
        <v>45648</v>
      </c>
      <c r="F148">
        <v>5</v>
      </c>
      <c r="G148">
        <v>8720</v>
      </c>
      <c r="H148">
        <f t="shared" si="6"/>
        <v>2025</v>
      </c>
      <c r="I148" t="str">
        <f t="shared" si="7"/>
        <v>June</v>
      </c>
      <c r="J148">
        <f t="shared" si="8"/>
        <v>0.19102698913424465</v>
      </c>
    </row>
    <row r="149" spans="1:10" x14ac:dyDescent="0.25">
      <c r="A149">
        <v>1148</v>
      </c>
      <c r="B149">
        <v>8</v>
      </c>
      <c r="C149">
        <v>105</v>
      </c>
      <c r="D149" s="3" t="s">
        <v>90</v>
      </c>
      <c r="E149">
        <v>34544</v>
      </c>
      <c r="F149">
        <v>10</v>
      </c>
      <c r="G149">
        <v>6499</v>
      </c>
      <c r="H149">
        <f t="shared" si="6"/>
        <v>2025</v>
      </c>
      <c r="I149" t="str">
        <f t="shared" si="7"/>
        <v>January</v>
      </c>
      <c r="J149">
        <f t="shared" si="8"/>
        <v>0.18813686892079667</v>
      </c>
    </row>
    <row r="150" spans="1:10" x14ac:dyDescent="0.25">
      <c r="A150">
        <v>1149</v>
      </c>
      <c r="B150">
        <v>9</v>
      </c>
      <c r="C150">
        <v>107</v>
      </c>
      <c r="D150" s="3" t="s">
        <v>35</v>
      </c>
      <c r="E150">
        <v>19225</v>
      </c>
      <c r="F150">
        <v>9</v>
      </c>
      <c r="G150">
        <v>3609</v>
      </c>
      <c r="H150">
        <f t="shared" si="6"/>
        <v>2025</v>
      </c>
      <c r="I150" t="str">
        <f t="shared" si="7"/>
        <v>February</v>
      </c>
      <c r="J150">
        <f t="shared" si="8"/>
        <v>0.18772431729518857</v>
      </c>
    </row>
    <row r="151" spans="1:10" x14ac:dyDescent="0.25">
      <c r="A151">
        <v>1150</v>
      </c>
      <c r="B151">
        <v>14</v>
      </c>
      <c r="C151">
        <v>101</v>
      </c>
      <c r="D151" s="3" t="s">
        <v>107</v>
      </c>
      <c r="E151">
        <v>39930</v>
      </c>
      <c r="F151">
        <v>7</v>
      </c>
      <c r="G151">
        <v>3970</v>
      </c>
      <c r="H151">
        <f t="shared" si="6"/>
        <v>2025</v>
      </c>
      <c r="I151" t="str">
        <f t="shared" si="7"/>
        <v>May</v>
      </c>
      <c r="J151">
        <f t="shared" si="8"/>
        <v>9.9423991985975457E-2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cols>
    <col min="1" max="1" width="12" bestFit="1" customWidth="1"/>
    <col min="2" max="2" width="15.42578125" bestFit="1" customWidth="1"/>
    <col min="3" max="3" width="10.5703125" bestFit="1" customWidth="1"/>
    <col min="4" max="4" width="12.140625" bestFit="1" customWidth="1"/>
  </cols>
  <sheetData>
    <row r="1" spans="1:4" x14ac:dyDescent="0.25">
      <c r="A1" t="s">
        <v>1</v>
      </c>
      <c r="B1" t="s">
        <v>108</v>
      </c>
      <c r="C1" t="s">
        <v>109</v>
      </c>
      <c r="D1" t="s">
        <v>110</v>
      </c>
    </row>
    <row r="2" spans="1:4" x14ac:dyDescent="0.25">
      <c r="A2">
        <v>1</v>
      </c>
      <c r="B2" t="s">
        <v>111</v>
      </c>
      <c r="C2" t="s">
        <v>112</v>
      </c>
      <c r="D2" t="s">
        <v>113</v>
      </c>
    </row>
    <row r="3" spans="1:4" x14ac:dyDescent="0.25">
      <c r="A3">
        <v>2</v>
      </c>
      <c r="B3" t="s">
        <v>114</v>
      </c>
      <c r="C3" t="s">
        <v>115</v>
      </c>
      <c r="D3" t="s">
        <v>116</v>
      </c>
    </row>
    <row r="4" spans="1:4" x14ac:dyDescent="0.25">
      <c r="A4">
        <v>3</v>
      </c>
      <c r="B4" t="s">
        <v>117</v>
      </c>
      <c r="C4" t="s">
        <v>118</v>
      </c>
      <c r="D4" t="s">
        <v>116</v>
      </c>
    </row>
    <row r="5" spans="1:4" x14ac:dyDescent="0.25">
      <c r="A5">
        <v>4</v>
      </c>
      <c r="B5" t="s">
        <v>119</v>
      </c>
      <c r="C5" t="s">
        <v>120</v>
      </c>
      <c r="D5" t="s">
        <v>121</v>
      </c>
    </row>
    <row r="6" spans="1:4" x14ac:dyDescent="0.25">
      <c r="A6">
        <v>5</v>
      </c>
      <c r="B6" t="s">
        <v>122</v>
      </c>
      <c r="C6" t="s">
        <v>118</v>
      </c>
      <c r="D6" t="s">
        <v>113</v>
      </c>
    </row>
    <row r="7" spans="1:4" x14ac:dyDescent="0.25">
      <c r="A7">
        <v>6</v>
      </c>
      <c r="B7" t="s">
        <v>123</v>
      </c>
      <c r="C7" t="s">
        <v>124</v>
      </c>
      <c r="D7" t="s">
        <v>113</v>
      </c>
    </row>
    <row r="8" spans="1:4" x14ac:dyDescent="0.25">
      <c r="A8">
        <v>7</v>
      </c>
      <c r="B8" t="s">
        <v>125</v>
      </c>
      <c r="C8" t="s">
        <v>126</v>
      </c>
      <c r="D8" t="s">
        <v>121</v>
      </c>
    </row>
    <row r="9" spans="1:4" x14ac:dyDescent="0.25">
      <c r="A9">
        <v>8</v>
      </c>
      <c r="B9" t="s">
        <v>127</v>
      </c>
      <c r="C9" t="s">
        <v>126</v>
      </c>
      <c r="D9" t="s">
        <v>121</v>
      </c>
    </row>
    <row r="10" spans="1:4" x14ac:dyDescent="0.25">
      <c r="A10">
        <v>9</v>
      </c>
      <c r="B10" t="s">
        <v>128</v>
      </c>
      <c r="C10" t="s">
        <v>124</v>
      </c>
      <c r="D10" t="s">
        <v>116</v>
      </c>
    </row>
    <row r="11" spans="1:4" x14ac:dyDescent="0.25">
      <c r="A11">
        <v>10</v>
      </c>
      <c r="B11" t="s">
        <v>129</v>
      </c>
      <c r="C11" t="s">
        <v>118</v>
      </c>
      <c r="D11" t="s">
        <v>121</v>
      </c>
    </row>
    <row r="12" spans="1:4" x14ac:dyDescent="0.25">
      <c r="A12">
        <v>11</v>
      </c>
      <c r="B12" t="s">
        <v>130</v>
      </c>
      <c r="C12" t="s">
        <v>126</v>
      </c>
      <c r="D12" t="s">
        <v>113</v>
      </c>
    </row>
    <row r="13" spans="1:4" x14ac:dyDescent="0.25">
      <c r="A13">
        <v>12</v>
      </c>
      <c r="B13" t="s">
        <v>131</v>
      </c>
      <c r="C13" t="s">
        <v>118</v>
      </c>
      <c r="D13" t="s">
        <v>121</v>
      </c>
    </row>
    <row r="14" spans="1:4" x14ac:dyDescent="0.25">
      <c r="A14">
        <v>13</v>
      </c>
      <c r="B14" t="s">
        <v>132</v>
      </c>
      <c r="C14" t="s">
        <v>124</v>
      </c>
      <c r="D14" t="s">
        <v>113</v>
      </c>
    </row>
    <row r="15" spans="1:4" x14ac:dyDescent="0.25">
      <c r="A15">
        <v>14</v>
      </c>
      <c r="B15" t="s">
        <v>133</v>
      </c>
      <c r="C15" t="s">
        <v>112</v>
      </c>
      <c r="D15" t="s">
        <v>116</v>
      </c>
    </row>
    <row r="16" spans="1:4" x14ac:dyDescent="0.25">
      <c r="A16">
        <v>15</v>
      </c>
      <c r="B16" t="s">
        <v>134</v>
      </c>
      <c r="C16" t="s">
        <v>112</v>
      </c>
      <c r="D16" t="s">
        <v>116</v>
      </c>
    </row>
    <row r="17" spans="1:4" x14ac:dyDescent="0.25">
      <c r="A17">
        <v>16</v>
      </c>
      <c r="B17" t="s">
        <v>135</v>
      </c>
      <c r="C17" t="s">
        <v>124</v>
      </c>
      <c r="D17" t="s">
        <v>113</v>
      </c>
    </row>
    <row r="18" spans="1:4" x14ac:dyDescent="0.25">
      <c r="A18">
        <v>17</v>
      </c>
      <c r="B18" t="s">
        <v>136</v>
      </c>
      <c r="C18" t="s">
        <v>126</v>
      </c>
      <c r="D18" t="s">
        <v>113</v>
      </c>
    </row>
    <row r="19" spans="1:4" x14ac:dyDescent="0.25">
      <c r="A19">
        <v>18</v>
      </c>
      <c r="B19" t="s">
        <v>137</v>
      </c>
      <c r="C19" t="s">
        <v>118</v>
      </c>
      <c r="D19" t="s">
        <v>113</v>
      </c>
    </row>
    <row r="20" spans="1:4" x14ac:dyDescent="0.25">
      <c r="A20">
        <v>19</v>
      </c>
      <c r="B20" t="s">
        <v>138</v>
      </c>
      <c r="C20" t="s">
        <v>139</v>
      </c>
      <c r="D20" t="s">
        <v>116</v>
      </c>
    </row>
    <row r="21" spans="1:4" x14ac:dyDescent="0.25">
      <c r="A21">
        <v>20</v>
      </c>
      <c r="B21" t="s">
        <v>140</v>
      </c>
      <c r="C21" t="s">
        <v>112</v>
      </c>
      <c r="D21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16" sqref="B16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14.5703125" bestFit="1" customWidth="1"/>
  </cols>
  <sheetData>
    <row r="1" spans="1:3" x14ac:dyDescent="0.25">
      <c r="A1" t="s">
        <v>2</v>
      </c>
      <c r="B1" t="s">
        <v>141</v>
      </c>
      <c r="C1" t="s">
        <v>142</v>
      </c>
    </row>
    <row r="2" spans="1:3" x14ac:dyDescent="0.25">
      <c r="A2">
        <v>101</v>
      </c>
      <c r="B2" t="s">
        <v>143</v>
      </c>
      <c r="C2" t="s">
        <v>144</v>
      </c>
    </row>
    <row r="3" spans="1:3" x14ac:dyDescent="0.25">
      <c r="A3">
        <v>102</v>
      </c>
      <c r="B3" t="s">
        <v>145</v>
      </c>
      <c r="C3" t="s">
        <v>146</v>
      </c>
    </row>
    <row r="4" spans="1:3" x14ac:dyDescent="0.25">
      <c r="A4">
        <v>103</v>
      </c>
      <c r="B4" t="s">
        <v>147</v>
      </c>
      <c r="C4" t="s">
        <v>146</v>
      </c>
    </row>
    <row r="5" spans="1:3" x14ac:dyDescent="0.25">
      <c r="A5">
        <v>104</v>
      </c>
      <c r="B5" t="s">
        <v>148</v>
      </c>
      <c r="C5" t="s">
        <v>144</v>
      </c>
    </row>
    <row r="6" spans="1:3" x14ac:dyDescent="0.25">
      <c r="A6">
        <v>105</v>
      </c>
      <c r="B6" t="s">
        <v>149</v>
      </c>
      <c r="C6" t="s">
        <v>150</v>
      </c>
    </row>
    <row r="7" spans="1:3" x14ac:dyDescent="0.25">
      <c r="A7">
        <v>106</v>
      </c>
      <c r="B7" t="s">
        <v>151</v>
      </c>
      <c r="C7" t="s">
        <v>146</v>
      </c>
    </row>
    <row r="8" spans="1:3" x14ac:dyDescent="0.25">
      <c r="A8">
        <v>107</v>
      </c>
      <c r="B8" t="s">
        <v>152</v>
      </c>
      <c r="C8" t="s">
        <v>150</v>
      </c>
    </row>
    <row r="9" spans="1:3" x14ac:dyDescent="0.25">
      <c r="A9">
        <v>108</v>
      </c>
      <c r="B9" t="s">
        <v>153</v>
      </c>
      <c r="C9" t="s">
        <v>146</v>
      </c>
    </row>
    <row r="10" spans="1:3" x14ac:dyDescent="0.25">
      <c r="A10">
        <v>109</v>
      </c>
      <c r="B10" t="s">
        <v>154</v>
      </c>
      <c r="C10" t="s">
        <v>144</v>
      </c>
    </row>
    <row r="11" spans="1:3" x14ac:dyDescent="0.25">
      <c r="A11">
        <v>110</v>
      </c>
      <c r="B11" t="s">
        <v>155</v>
      </c>
      <c r="C11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garg</cp:lastModifiedBy>
  <dcterms:created xsi:type="dcterms:W3CDTF">2026-03-23T11:27:59Z</dcterms:created>
  <dcterms:modified xsi:type="dcterms:W3CDTF">2026-03-23T12:49:25Z</dcterms:modified>
</cp:coreProperties>
</file>